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CNP_SOURCE_APP_PGM\Add_FissionGammas_PFG_DFG_from_ENDFB\"/>
    </mc:Choice>
  </mc:AlternateContent>
  <xr:revisionPtr revIDLastSave="0" documentId="13_ncr:11_{DD52D6C3-09CA-42F4-96C5-1DDDB859D04B}" xr6:coauthVersionLast="47" xr6:coauthVersionMax="47" xr10:uidLastSave="{00000000-0000-0000-0000-000000000000}"/>
  <bookViews>
    <workbookView xWindow="-110" yWindow="-110" windowWidth="38620" windowHeight="21100" activeTab="6" xr2:uid="{00000000-000D-0000-FFFF-FFFF00000000}"/>
  </bookViews>
  <sheets>
    <sheet name="REF_U238" sheetId="1" r:id="rId1"/>
    <sheet name="U232" sheetId="2" r:id="rId2"/>
    <sheet name="U234" sheetId="3" r:id="rId3"/>
    <sheet name="U235" sheetId="4" r:id="rId4"/>
    <sheet name="U236" sheetId="6" r:id="rId5"/>
    <sheet name="Th230" sheetId="7" r:id="rId6"/>
    <sheet name="Th232" sheetId="8" r:id="rId7"/>
  </sheets>
  <definedNames>
    <definedName name="fg_yield_ref">REF_U238!$B$2:$B$71</definedName>
    <definedName name="target_total_fg_th230">REF_U238!$B$95</definedName>
    <definedName name="target_total_fg_th232">REF_U238!$B$96</definedName>
    <definedName name="target_total_fg_u232">REF_U238!$B$91</definedName>
    <definedName name="target_total_fg_u234">REF_U238!$B$92</definedName>
    <definedName name="target_total_fg_u235">REF_U238!$B$93</definedName>
    <definedName name="target_total_fg_u236">REF_U238!$B$94</definedName>
    <definedName name="Y_fg_U238">REF_U238!$B$77</definedName>
    <definedName name="Y_sfn_Th230">REF_U238!$B$87</definedName>
    <definedName name="Y_sfn_Th232">REF_U238!$B$88</definedName>
    <definedName name="Y_sfn_U232">REF_U238!$B$83</definedName>
    <definedName name="Y_sfn_U234">REF_U238!$B$84</definedName>
    <definedName name="Y_sfn_U235">REF_U238!$B$85</definedName>
    <definedName name="Y_sfn_U236">REF_U238!$B$86</definedName>
    <definedName name="Y_sfn_U238">REF_U238!$B$78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7" l="1"/>
  <c r="J15" i="4"/>
  <c r="J56" i="3"/>
  <c r="E107" i="2"/>
  <c r="E1" i="8"/>
  <c r="D1" i="8"/>
  <c r="C1" i="8"/>
  <c r="B1" i="8"/>
  <c r="E1" i="7"/>
  <c r="B1" i="7"/>
  <c r="E1" i="6"/>
  <c r="B1" i="6"/>
  <c r="D1" i="6"/>
  <c r="C1" i="6"/>
  <c r="D1" i="7"/>
  <c r="C1" i="7"/>
  <c r="C2" i="4" a="1"/>
  <c r="C2" i="4" s="1"/>
  <c r="D1" i="4"/>
  <c r="C1" i="4"/>
  <c r="D1" i="3"/>
  <c r="C1" i="3"/>
  <c r="C1" i="2"/>
  <c r="D1" i="2"/>
  <c r="B77" i="1"/>
  <c r="B92" i="1"/>
  <c r="C2" i="3" s="1" a="1"/>
  <c r="C2" i="3" s="1"/>
  <c r="B93" i="1"/>
  <c r="B94" i="1"/>
  <c r="C2" i="6" s="1" a="1"/>
  <c r="C2" i="6" s="1"/>
  <c r="B83" i="1"/>
  <c r="B91" i="1" s="1"/>
  <c r="C2" i="2" s="1" a="1"/>
  <c r="C2" i="2" s="1"/>
  <c r="B88" i="1"/>
  <c r="B96" i="1" s="1"/>
  <c r="C2" i="8" s="1" a="1"/>
  <c r="C2" i="8" s="1"/>
  <c r="B87" i="1"/>
  <c r="B95" i="1" s="1"/>
  <c r="C2" i="7" s="1" a="1"/>
  <c r="C2" i="7" s="1"/>
  <c r="B8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<sst xmlns="http://schemas.openxmlformats.org/spreadsheetml/2006/main" count="521" uniqueCount="21">
  <si>
    <t>PG</t>
  </si>
  <si>
    <t>DG</t>
  </si>
  <si>
    <t>Yield</t>
  </si>
  <si>
    <t>Energy</t>
  </si>
  <si>
    <t>Category</t>
  </si>
  <si>
    <t>Y_sfn_U238</t>
  </si>
  <si>
    <t>Y_fg_U238</t>
  </si>
  <si>
    <t>ratio_fg_to_sfn</t>
  </si>
  <si>
    <t>Y_sfn_U232</t>
  </si>
  <si>
    <t>Y_sfn_U236</t>
  </si>
  <si>
    <t>Y_sfn_U234</t>
  </si>
  <si>
    <t>Y_sfn_U235</t>
  </si>
  <si>
    <t>Y_sfn_Th230</t>
  </si>
  <si>
    <t>Y_sfn_Th232</t>
  </si>
  <si>
    <t>target_total_fg_u232</t>
  </si>
  <si>
    <t>target_total_fg_u234</t>
  </si>
  <si>
    <t>target_total_fg_u235</t>
  </si>
  <si>
    <t>target_total_fg_u236</t>
  </si>
  <si>
    <t>target_total_fg_th232</t>
  </si>
  <si>
    <t>target_total_fg_th230</t>
  </si>
  <si>
    <t>U232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</si>
</sst>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E+00"/>
    <numFmt numFmtId="166" formatCode="0.00000"/>
    <numFmt numFmtId="167" formatCode="0.00000E+0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7" fontId="2" fillId="0" borderId="1" xfId="0" applyNumberFormat="1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0" fillId="0" borderId="0" xfId="0" applyNumberFormat="1"/>
    <xf numFmtId="167" fontId="2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topLeftCell="A61" zoomScale="85" zoomScaleNormal="85" workbookViewId="0">
      <selection activeCell="B87" sqref="B87"/>
    </sheetView>
  </sheetViews>
  <sheetFormatPr defaultColWidth="17.54296875" defaultRowHeight="18.5" x14ac:dyDescent="0.35"/>
  <cols>
    <col min="1" max="1" width="27.6328125" style="2" customWidth="1"/>
    <col min="2" max="4" width="24.36328125" style="3" customWidth="1"/>
    <col min="5" max="16384" width="17.54296875" style="1"/>
  </cols>
  <sheetData>
    <row r="1" spans="1:7" x14ac:dyDescent="0.35">
      <c r="A1" s="7" t="s">
        <v>4</v>
      </c>
      <c r="B1" s="8" t="s">
        <v>2</v>
      </c>
      <c r="C1" s="8" t="s">
        <v>3</v>
      </c>
      <c r="D1" s="8" t="s">
        <v>4</v>
      </c>
      <c r="G1" s="9"/>
    </row>
    <row r="2" spans="1:7" x14ac:dyDescent="0.35">
      <c r="A2" s="5">
        <v>1</v>
      </c>
      <c r="B2" s="14">
        <v>4.1011000000000002E-8</v>
      </c>
      <c r="C2" s="14">
        <v>1.4800000000000001E-2</v>
      </c>
      <c r="D2" s="6" t="s">
        <v>0</v>
      </c>
    </row>
    <row r="3" spans="1:7" x14ac:dyDescent="0.35">
      <c r="A3" s="5">
        <v>1</v>
      </c>
      <c r="B3" s="14">
        <v>7.6396099999999997E-8</v>
      </c>
      <c r="C3" s="14">
        <v>0.03</v>
      </c>
      <c r="D3" s="6" t="s">
        <v>1</v>
      </c>
    </row>
    <row r="4" spans="1:7" x14ac:dyDescent="0.35">
      <c r="A4" s="5">
        <v>1</v>
      </c>
      <c r="B4" s="14">
        <v>1.0696600000000001E-7</v>
      </c>
      <c r="C4" s="14">
        <v>3.1399999999999997E-2</v>
      </c>
      <c r="D4" s="6" t="s">
        <v>0</v>
      </c>
    </row>
    <row r="5" spans="1:7" x14ac:dyDescent="0.35">
      <c r="A5" s="5">
        <v>1</v>
      </c>
      <c r="B5" s="14">
        <v>3.1007299999999999E-9</v>
      </c>
      <c r="C5" s="14">
        <v>4.53E-2</v>
      </c>
      <c r="D5" s="6" t="s">
        <v>0</v>
      </c>
    </row>
    <row r="6" spans="1:7" x14ac:dyDescent="0.35">
      <c r="A6" s="5">
        <v>1</v>
      </c>
      <c r="B6" s="14">
        <v>7.6396099999999997E-8</v>
      </c>
      <c r="C6" s="14">
        <v>0.05</v>
      </c>
      <c r="D6" s="6" t="s">
        <v>1</v>
      </c>
    </row>
    <row r="7" spans="1:7" x14ac:dyDescent="0.35">
      <c r="A7" s="5">
        <v>1</v>
      </c>
      <c r="B7" s="14">
        <v>4.4172400000000004E-9</v>
      </c>
      <c r="C7" s="14">
        <v>5.5300000000000002E-2</v>
      </c>
      <c r="D7" s="6" t="s">
        <v>0</v>
      </c>
    </row>
    <row r="8" spans="1:7" x14ac:dyDescent="0.35">
      <c r="A8" s="5">
        <v>1</v>
      </c>
      <c r="B8" s="14">
        <v>7.6396099999999997E-8</v>
      </c>
      <c r="C8" s="14">
        <v>7.0000000000000007E-2</v>
      </c>
      <c r="D8" s="6" t="s">
        <v>1</v>
      </c>
    </row>
    <row r="9" spans="1:7" x14ac:dyDescent="0.35">
      <c r="A9" s="5">
        <v>1</v>
      </c>
      <c r="B9" s="14">
        <v>9.0076900000000008E-9</v>
      </c>
      <c r="C9" s="14">
        <v>7.5300000000000006E-2</v>
      </c>
      <c r="D9" s="6" t="s">
        <v>0</v>
      </c>
    </row>
    <row r="10" spans="1:7" x14ac:dyDescent="0.35">
      <c r="A10" s="5">
        <v>1</v>
      </c>
      <c r="B10" s="14">
        <v>1.27753E-8</v>
      </c>
      <c r="C10" s="14">
        <v>8.5300000000000001E-2</v>
      </c>
      <c r="D10" s="6" t="s">
        <v>0</v>
      </c>
    </row>
    <row r="11" spans="1:7" x14ac:dyDescent="0.35">
      <c r="A11" s="5">
        <v>1</v>
      </c>
      <c r="B11" s="14">
        <v>7.6396099999999997E-8</v>
      </c>
      <c r="C11" s="14">
        <v>0.09</v>
      </c>
      <c r="D11" s="6" t="s">
        <v>1</v>
      </c>
    </row>
    <row r="12" spans="1:7" x14ac:dyDescent="0.35">
      <c r="A12" s="5">
        <v>1</v>
      </c>
      <c r="B12" s="14">
        <v>1.8231899999999999E-8</v>
      </c>
      <c r="C12" s="14">
        <v>9.5299999999999996E-2</v>
      </c>
      <c r="D12" s="6" t="s">
        <v>0</v>
      </c>
    </row>
    <row r="13" spans="1:7" x14ac:dyDescent="0.35">
      <c r="A13" s="5">
        <v>1</v>
      </c>
      <c r="B13" s="14">
        <v>7.6396099999999997E-8</v>
      </c>
      <c r="C13" s="14">
        <v>0.11</v>
      </c>
      <c r="D13" s="6" t="s">
        <v>1</v>
      </c>
    </row>
    <row r="14" spans="1:7" x14ac:dyDescent="0.35">
      <c r="A14" s="5">
        <v>1</v>
      </c>
      <c r="B14" s="14">
        <v>6.0628700000000003E-8</v>
      </c>
      <c r="C14" s="14">
        <v>0.11</v>
      </c>
      <c r="D14" s="6" t="s">
        <v>0</v>
      </c>
    </row>
    <row r="15" spans="1:7" x14ac:dyDescent="0.35">
      <c r="A15" s="5">
        <v>1</v>
      </c>
      <c r="B15" s="14">
        <v>7.6396099999999997E-8</v>
      </c>
      <c r="C15" s="14">
        <v>0.13</v>
      </c>
      <c r="D15" s="6" t="s">
        <v>1</v>
      </c>
    </row>
    <row r="16" spans="1:7" x14ac:dyDescent="0.35">
      <c r="A16" s="5">
        <v>1</v>
      </c>
      <c r="B16" s="14">
        <v>6.0628700000000003E-8</v>
      </c>
      <c r="C16" s="14">
        <v>0.13</v>
      </c>
      <c r="D16" s="6" t="s">
        <v>0</v>
      </c>
    </row>
    <row r="17" spans="1:4" x14ac:dyDescent="0.35">
      <c r="A17" s="5">
        <v>1</v>
      </c>
      <c r="B17" s="14">
        <v>7.6396099999999997E-8</v>
      </c>
      <c r="C17" s="14">
        <v>0.15</v>
      </c>
      <c r="D17" s="6" t="s">
        <v>1</v>
      </c>
    </row>
    <row r="18" spans="1:4" x14ac:dyDescent="0.35">
      <c r="A18" s="5">
        <v>1</v>
      </c>
      <c r="B18" s="14">
        <v>6.0628700000000003E-8</v>
      </c>
      <c r="C18" s="14">
        <v>0.15</v>
      </c>
      <c r="D18" s="6" t="s">
        <v>0</v>
      </c>
    </row>
    <row r="19" spans="1:4" x14ac:dyDescent="0.35">
      <c r="A19" s="5">
        <v>1</v>
      </c>
      <c r="B19" s="14">
        <v>7.6396099999999997E-8</v>
      </c>
      <c r="C19" s="14">
        <v>0.17</v>
      </c>
      <c r="D19" s="6" t="s">
        <v>1</v>
      </c>
    </row>
    <row r="20" spans="1:4" x14ac:dyDescent="0.35">
      <c r="A20" s="5">
        <v>1</v>
      </c>
      <c r="B20" s="14">
        <v>6.0628700000000003E-8</v>
      </c>
      <c r="C20" s="14">
        <v>0.17</v>
      </c>
      <c r="D20" s="6" t="s">
        <v>0</v>
      </c>
    </row>
    <row r="21" spans="1:4" x14ac:dyDescent="0.35">
      <c r="A21" s="5">
        <v>1</v>
      </c>
      <c r="B21" s="14">
        <v>7.6396099999999997E-8</v>
      </c>
      <c r="C21" s="14">
        <v>0.19</v>
      </c>
      <c r="D21" s="6" t="s">
        <v>1</v>
      </c>
    </row>
    <row r="22" spans="1:4" x14ac:dyDescent="0.35">
      <c r="A22" s="5">
        <v>1</v>
      </c>
      <c r="B22" s="14">
        <v>6.0628700000000003E-8</v>
      </c>
      <c r="C22" s="14">
        <v>0.19</v>
      </c>
      <c r="D22" s="6" t="s">
        <v>0</v>
      </c>
    </row>
    <row r="23" spans="1:4" x14ac:dyDescent="0.35">
      <c r="A23" s="5">
        <v>1</v>
      </c>
      <c r="B23" s="14">
        <v>1.87518E-7</v>
      </c>
      <c r="C23" s="14">
        <v>0.22500000000000001</v>
      </c>
      <c r="D23" s="6" t="s">
        <v>1</v>
      </c>
    </row>
    <row r="24" spans="1:4" x14ac:dyDescent="0.35">
      <c r="A24" s="5">
        <v>1</v>
      </c>
      <c r="B24" s="14">
        <v>1.5200499999999999E-7</v>
      </c>
      <c r="C24" s="14">
        <v>0.22500000000000001</v>
      </c>
      <c r="D24" s="6" t="s">
        <v>0</v>
      </c>
    </row>
    <row r="25" spans="1:4" x14ac:dyDescent="0.35">
      <c r="A25" s="5">
        <v>1</v>
      </c>
      <c r="B25" s="14">
        <v>1.87518E-7</v>
      </c>
      <c r="C25" s="14">
        <v>0.27500000000000002</v>
      </c>
      <c r="D25" s="6" t="s">
        <v>1</v>
      </c>
    </row>
    <row r="26" spans="1:4" x14ac:dyDescent="0.35">
      <c r="A26" s="5">
        <v>1</v>
      </c>
      <c r="B26" s="14">
        <v>1.5200499999999999E-7</v>
      </c>
      <c r="C26" s="14">
        <v>0.27500000000000002</v>
      </c>
      <c r="D26" s="6" t="s">
        <v>0</v>
      </c>
    </row>
    <row r="27" spans="1:4" x14ac:dyDescent="0.35">
      <c r="A27" s="5">
        <v>1</v>
      </c>
      <c r="B27" s="14">
        <v>1.87518E-7</v>
      </c>
      <c r="C27" s="14">
        <v>0.32500000000000001</v>
      </c>
      <c r="D27" s="6" t="s">
        <v>1</v>
      </c>
    </row>
    <row r="28" spans="1:4" x14ac:dyDescent="0.35">
      <c r="A28" s="5">
        <v>1</v>
      </c>
      <c r="B28" s="14">
        <v>1.5200499999999999E-7</v>
      </c>
      <c r="C28" s="14">
        <v>0.32500000000000001</v>
      </c>
      <c r="D28" s="6" t="s">
        <v>0</v>
      </c>
    </row>
    <row r="29" spans="1:4" x14ac:dyDescent="0.35">
      <c r="A29" s="5">
        <v>1</v>
      </c>
      <c r="B29" s="14">
        <v>1.87518E-7</v>
      </c>
      <c r="C29" s="14">
        <v>0.375</v>
      </c>
      <c r="D29" s="6" t="s">
        <v>1</v>
      </c>
    </row>
    <row r="30" spans="1:4" x14ac:dyDescent="0.35">
      <c r="A30" s="5">
        <v>1</v>
      </c>
      <c r="B30" s="14">
        <v>1.5200499999999999E-7</v>
      </c>
      <c r="C30" s="14">
        <v>0.375</v>
      </c>
      <c r="D30" s="6" t="s">
        <v>0</v>
      </c>
    </row>
    <row r="31" spans="1:4" x14ac:dyDescent="0.35">
      <c r="A31" s="5">
        <v>1</v>
      </c>
      <c r="B31" s="14">
        <v>1.5200499999999999E-7</v>
      </c>
      <c r="C31" s="14">
        <v>0.42499999999999999</v>
      </c>
      <c r="D31" s="6" t="s">
        <v>0</v>
      </c>
    </row>
    <row r="32" spans="1:4" x14ac:dyDescent="0.35">
      <c r="A32" s="5">
        <v>1</v>
      </c>
      <c r="B32" s="14">
        <v>5.2782799999999998E-7</v>
      </c>
      <c r="C32" s="14">
        <v>0.44</v>
      </c>
      <c r="D32" s="6" t="s">
        <v>1</v>
      </c>
    </row>
    <row r="33" spans="1:4" x14ac:dyDescent="0.35">
      <c r="A33" s="5">
        <v>1</v>
      </c>
      <c r="B33" s="14">
        <v>1.5200499999999999E-7</v>
      </c>
      <c r="C33" s="14">
        <v>0.47499999999999998</v>
      </c>
      <c r="D33" s="6" t="s">
        <v>0</v>
      </c>
    </row>
    <row r="34" spans="1:4" x14ac:dyDescent="0.35">
      <c r="A34" s="5">
        <v>1</v>
      </c>
      <c r="B34" s="14">
        <v>1.5200499999999999E-7</v>
      </c>
      <c r="C34" s="14">
        <v>0.52500000000000002</v>
      </c>
      <c r="D34" s="6" t="s">
        <v>0</v>
      </c>
    </row>
    <row r="35" spans="1:4" x14ac:dyDescent="0.35">
      <c r="A35" s="5">
        <v>1</v>
      </c>
      <c r="B35" s="14">
        <v>4.0976100000000001E-7</v>
      </c>
      <c r="C35" s="14">
        <v>0.54</v>
      </c>
      <c r="D35" s="6" t="s">
        <v>1</v>
      </c>
    </row>
    <row r="36" spans="1:4" x14ac:dyDescent="0.35">
      <c r="A36" s="5">
        <v>1</v>
      </c>
      <c r="B36" s="14">
        <v>1.5200499999999999E-7</v>
      </c>
      <c r="C36" s="14">
        <v>0.57499999999999996</v>
      </c>
      <c r="D36" s="6" t="s">
        <v>0</v>
      </c>
    </row>
    <row r="37" spans="1:4" x14ac:dyDescent="0.35">
      <c r="A37" s="5">
        <v>1</v>
      </c>
      <c r="B37" s="14">
        <v>3.1947500000000002E-7</v>
      </c>
      <c r="C37" s="14">
        <v>0.64</v>
      </c>
      <c r="D37" s="6" t="s">
        <v>1</v>
      </c>
    </row>
    <row r="38" spans="1:4" x14ac:dyDescent="0.35">
      <c r="A38" s="5">
        <v>1</v>
      </c>
      <c r="B38" s="14">
        <v>2.9275000000000002E-7</v>
      </c>
      <c r="C38" s="14">
        <v>0.64900000000000002</v>
      </c>
      <c r="D38" s="6" t="s">
        <v>0</v>
      </c>
    </row>
    <row r="39" spans="1:4" x14ac:dyDescent="0.35">
      <c r="A39" s="5">
        <v>1</v>
      </c>
      <c r="B39" s="14">
        <v>2.5002400000000002E-7</v>
      </c>
      <c r="C39" s="14">
        <v>0.74</v>
      </c>
      <c r="D39" s="6" t="s">
        <v>1</v>
      </c>
    </row>
    <row r="40" spans="1:4" x14ac:dyDescent="0.35">
      <c r="A40" s="5">
        <v>1</v>
      </c>
      <c r="B40" s="14">
        <v>2.4467999999999999E-7</v>
      </c>
      <c r="C40" s="14">
        <v>0.749</v>
      </c>
      <c r="D40" s="6" t="s">
        <v>0</v>
      </c>
    </row>
    <row r="41" spans="1:4" x14ac:dyDescent="0.35">
      <c r="A41" s="5">
        <v>1</v>
      </c>
      <c r="B41" s="14">
        <v>1.9446300000000001E-7</v>
      </c>
      <c r="C41" s="14">
        <v>0.84</v>
      </c>
      <c r="D41" s="6" t="s">
        <v>1</v>
      </c>
    </row>
    <row r="42" spans="1:4" x14ac:dyDescent="0.35">
      <c r="A42" s="5">
        <v>1</v>
      </c>
      <c r="B42" s="14">
        <v>2.0527199999999999E-7</v>
      </c>
      <c r="C42" s="14">
        <v>0.84899999999999998</v>
      </c>
      <c r="D42" s="6" t="s">
        <v>0</v>
      </c>
    </row>
    <row r="43" spans="1:4" x14ac:dyDescent="0.35">
      <c r="A43" s="5">
        <v>1</v>
      </c>
      <c r="B43" s="14">
        <v>1.7149300000000001E-7</v>
      </c>
      <c r="C43" s="14">
        <v>0.94899999999999995</v>
      </c>
      <c r="D43" s="6" t="s">
        <v>0</v>
      </c>
    </row>
    <row r="44" spans="1:4" x14ac:dyDescent="0.35">
      <c r="A44" s="5">
        <v>1</v>
      </c>
      <c r="B44" s="14">
        <v>1.43777E-7</v>
      </c>
      <c r="C44" s="14">
        <v>1.0489999999999999</v>
      </c>
      <c r="D44" s="6" t="s">
        <v>0</v>
      </c>
    </row>
    <row r="45" spans="1:4" x14ac:dyDescent="0.35">
      <c r="A45" s="5">
        <v>1</v>
      </c>
      <c r="B45" s="14">
        <v>8.1952200000000002E-7</v>
      </c>
      <c r="C45" s="14">
        <v>1.1000000000000001</v>
      </c>
      <c r="D45" s="6" t="s">
        <v>1</v>
      </c>
    </row>
    <row r="46" spans="1:4" x14ac:dyDescent="0.35">
      <c r="A46" s="5">
        <v>1</v>
      </c>
      <c r="B46" s="14">
        <v>1.1995799999999999E-7</v>
      </c>
      <c r="C46" s="14">
        <v>1.149</v>
      </c>
      <c r="D46" s="6" t="s">
        <v>0</v>
      </c>
    </row>
    <row r="47" spans="1:4" x14ac:dyDescent="0.35">
      <c r="A47" s="5">
        <v>1</v>
      </c>
      <c r="B47" s="14">
        <v>1.0047E-7</v>
      </c>
      <c r="C47" s="14">
        <v>1.25</v>
      </c>
      <c r="D47" s="6" t="s">
        <v>0</v>
      </c>
    </row>
    <row r="48" spans="1:4" x14ac:dyDescent="0.35">
      <c r="A48" s="5">
        <v>1</v>
      </c>
      <c r="B48" s="14">
        <v>8.4014100000000006E-8</v>
      </c>
      <c r="C48" s="14">
        <v>1.35</v>
      </c>
      <c r="D48" s="6" t="s">
        <v>0</v>
      </c>
    </row>
    <row r="49" spans="1:4" x14ac:dyDescent="0.35">
      <c r="A49" s="5">
        <v>1</v>
      </c>
      <c r="B49" s="14">
        <v>7.0156100000000002E-8</v>
      </c>
      <c r="C49" s="14">
        <v>1.45</v>
      </c>
      <c r="D49" s="6" t="s">
        <v>0</v>
      </c>
    </row>
    <row r="50" spans="1:4" x14ac:dyDescent="0.35">
      <c r="A50" s="5">
        <v>1</v>
      </c>
      <c r="B50" s="14">
        <v>5.00047E-7</v>
      </c>
      <c r="C50" s="14">
        <v>1.56</v>
      </c>
      <c r="D50" s="6" t="s">
        <v>1</v>
      </c>
    </row>
    <row r="51" spans="1:4" x14ac:dyDescent="0.35">
      <c r="A51" s="5">
        <v>1</v>
      </c>
      <c r="B51" s="14">
        <v>2.4901100000000001E-7</v>
      </c>
      <c r="C51" s="14">
        <v>1.73</v>
      </c>
      <c r="D51" s="6" t="s">
        <v>0</v>
      </c>
    </row>
    <row r="52" spans="1:4" x14ac:dyDescent="0.35">
      <c r="A52" s="5">
        <v>1</v>
      </c>
      <c r="B52" s="14">
        <v>2.6391399999999999E-7</v>
      </c>
      <c r="C52" s="14">
        <v>2</v>
      </c>
      <c r="D52" s="6" t="s">
        <v>1</v>
      </c>
    </row>
    <row r="53" spans="1:4" x14ac:dyDescent="0.35">
      <c r="A53" s="5">
        <v>1</v>
      </c>
      <c r="B53" s="14">
        <v>1.4464300000000001E-7</v>
      </c>
      <c r="C53" s="14">
        <v>2.23</v>
      </c>
      <c r="D53" s="6" t="s">
        <v>0</v>
      </c>
    </row>
    <row r="54" spans="1:4" x14ac:dyDescent="0.35">
      <c r="A54" s="5">
        <v>1</v>
      </c>
      <c r="B54" s="14">
        <v>1.9446300000000001E-7</v>
      </c>
      <c r="C54" s="14">
        <v>2.4</v>
      </c>
      <c r="D54" s="6" t="s">
        <v>1</v>
      </c>
    </row>
    <row r="55" spans="1:4" x14ac:dyDescent="0.35">
      <c r="A55" s="5">
        <v>1</v>
      </c>
      <c r="B55" s="14">
        <v>8.3580999999999999E-8</v>
      </c>
      <c r="C55" s="14">
        <v>2.73</v>
      </c>
      <c r="D55" s="6" t="s">
        <v>0</v>
      </c>
    </row>
    <row r="56" spans="1:4" x14ac:dyDescent="0.35">
      <c r="A56" s="5">
        <v>1</v>
      </c>
      <c r="B56" s="14">
        <v>1.1112199999999999E-7</v>
      </c>
      <c r="C56" s="14">
        <v>2.8</v>
      </c>
      <c r="D56" s="6" t="s">
        <v>1</v>
      </c>
    </row>
    <row r="57" spans="1:4" x14ac:dyDescent="0.35">
      <c r="A57" s="5">
        <v>1</v>
      </c>
      <c r="B57" s="14">
        <v>4.8503000000000001E-8</v>
      </c>
      <c r="C57" s="14">
        <v>3.23</v>
      </c>
      <c r="D57" s="6" t="s">
        <v>0</v>
      </c>
    </row>
    <row r="58" spans="1:4" x14ac:dyDescent="0.35">
      <c r="A58" s="5">
        <v>1</v>
      </c>
      <c r="B58" s="14">
        <v>8.3341200000000003E-8</v>
      </c>
      <c r="C58" s="14">
        <v>3.25</v>
      </c>
      <c r="D58" s="6" t="s">
        <v>1</v>
      </c>
    </row>
    <row r="59" spans="1:4" x14ac:dyDescent="0.35">
      <c r="A59" s="5">
        <v>1</v>
      </c>
      <c r="B59" s="14">
        <v>2.8148999999999999E-8</v>
      </c>
      <c r="C59" s="14">
        <v>3.73</v>
      </c>
      <c r="D59" s="6" t="s">
        <v>0</v>
      </c>
    </row>
    <row r="60" spans="1:4" x14ac:dyDescent="0.35">
      <c r="A60" s="5">
        <v>1</v>
      </c>
      <c r="B60" s="14">
        <v>5.9727899999999998E-8</v>
      </c>
      <c r="C60" s="14">
        <v>3.75</v>
      </c>
      <c r="D60" s="6" t="s">
        <v>1</v>
      </c>
    </row>
    <row r="61" spans="1:4" x14ac:dyDescent="0.35">
      <c r="A61" s="5">
        <v>1</v>
      </c>
      <c r="B61" s="14">
        <v>1.6326399999999999E-8</v>
      </c>
      <c r="C61" s="14">
        <v>4.2300000000000004</v>
      </c>
      <c r="D61" s="6" t="s">
        <v>0</v>
      </c>
    </row>
    <row r="62" spans="1:4" x14ac:dyDescent="0.35">
      <c r="A62" s="5">
        <v>1</v>
      </c>
      <c r="B62" s="14">
        <v>2.91694E-8</v>
      </c>
      <c r="C62" s="14">
        <v>4.25</v>
      </c>
      <c r="D62" s="6" t="s">
        <v>1</v>
      </c>
    </row>
    <row r="63" spans="1:4" x14ac:dyDescent="0.35">
      <c r="A63" s="5">
        <v>1</v>
      </c>
      <c r="B63" s="14">
        <v>9.4407599999999996E-9</v>
      </c>
      <c r="C63" s="14">
        <v>4.7300000000000004</v>
      </c>
      <c r="D63" s="6" t="s">
        <v>0</v>
      </c>
    </row>
    <row r="64" spans="1:4" x14ac:dyDescent="0.35">
      <c r="A64" s="5">
        <v>1</v>
      </c>
      <c r="B64" s="14">
        <v>1.38902E-8</v>
      </c>
      <c r="C64" s="14">
        <v>4.75</v>
      </c>
      <c r="D64" s="6" t="s">
        <v>1</v>
      </c>
    </row>
    <row r="65" spans="1:4" x14ac:dyDescent="0.35">
      <c r="A65" s="5">
        <v>1</v>
      </c>
      <c r="B65" s="14">
        <v>5.4998900000000001E-9</v>
      </c>
      <c r="C65" s="14">
        <v>5.23</v>
      </c>
      <c r="D65" s="6" t="s">
        <v>0</v>
      </c>
    </row>
    <row r="66" spans="1:4" x14ac:dyDescent="0.35">
      <c r="A66" s="5">
        <v>1</v>
      </c>
      <c r="B66" s="14">
        <v>6.5978499999999999E-9</v>
      </c>
      <c r="C66" s="14">
        <v>5.25</v>
      </c>
      <c r="D66" s="6" t="s">
        <v>1</v>
      </c>
    </row>
    <row r="67" spans="1:4" x14ac:dyDescent="0.35">
      <c r="A67" s="5">
        <v>1</v>
      </c>
      <c r="B67" s="14">
        <v>5.02352E-9</v>
      </c>
      <c r="C67" s="14">
        <v>5.91</v>
      </c>
      <c r="D67" s="6" t="s">
        <v>0</v>
      </c>
    </row>
    <row r="68" spans="1:4" x14ac:dyDescent="0.35">
      <c r="A68" s="5">
        <v>1</v>
      </c>
      <c r="B68" s="14">
        <v>1.68894E-9</v>
      </c>
      <c r="C68" s="14">
        <v>6.91</v>
      </c>
      <c r="D68" s="6" t="s">
        <v>0</v>
      </c>
    </row>
    <row r="69" spans="1:4" x14ac:dyDescent="0.35">
      <c r="A69" s="5">
        <v>1</v>
      </c>
      <c r="B69" s="14">
        <v>5.6298099999999996E-10</v>
      </c>
      <c r="C69" s="14">
        <v>7.91</v>
      </c>
      <c r="D69" s="6" t="s">
        <v>0</v>
      </c>
    </row>
    <row r="70" spans="1:4" x14ac:dyDescent="0.35">
      <c r="A70" s="5">
        <v>1</v>
      </c>
      <c r="B70" s="14">
        <v>1.90547E-10</v>
      </c>
      <c r="C70" s="14">
        <v>8.91</v>
      </c>
      <c r="D70" s="6" t="s">
        <v>0</v>
      </c>
    </row>
    <row r="71" spans="1:4" x14ac:dyDescent="0.35">
      <c r="A71" s="5">
        <v>1</v>
      </c>
      <c r="B71" s="14">
        <v>6.4959299999999998E-11</v>
      </c>
      <c r="C71" s="14">
        <v>9.91</v>
      </c>
      <c r="D71" s="6" t="s">
        <v>0</v>
      </c>
    </row>
    <row r="72" spans="1:4" x14ac:dyDescent="0.35">
      <c r="A72" s="11"/>
      <c r="B72" s="17"/>
      <c r="C72" s="17"/>
      <c r="D72" s="12"/>
    </row>
    <row r="73" spans="1:4" x14ac:dyDescent="0.35">
      <c r="A73" s="11"/>
      <c r="B73" s="17"/>
      <c r="C73" s="17"/>
      <c r="D73" s="12"/>
    </row>
    <row r="74" spans="1:4" x14ac:dyDescent="0.35">
      <c r="A74" s="11"/>
      <c r="B74" s="17"/>
      <c r="C74" s="17"/>
      <c r="D74" s="12"/>
    </row>
    <row r="75" spans="1:4" x14ac:dyDescent="0.35">
      <c r="A75" s="11"/>
      <c r="B75" s="17"/>
      <c r="C75" s="17"/>
      <c r="D75" s="12"/>
    </row>
    <row r="77" spans="1:4" x14ac:dyDescent="0.35">
      <c r="A77" s="4" t="s">
        <v>6</v>
      </c>
      <c r="B77" s="3">
        <f>SUM(B2:B71)</f>
        <v>8.9609310072999932E-6</v>
      </c>
    </row>
    <row r="78" spans="1:4" x14ac:dyDescent="0.35">
      <c r="A78" s="4" t="s">
        <v>5</v>
      </c>
      <c r="B78" s="3">
        <v>1.1302199999999999E-6</v>
      </c>
    </row>
    <row r="80" spans="1:4" x14ac:dyDescent="0.35">
      <c r="A80" s="4" t="s">
        <v>7</v>
      </c>
      <c r="B80" s="10">
        <f>B77/B78</f>
        <v>7.9284838414644883</v>
      </c>
    </row>
    <row r="83" spans="1:2" x14ac:dyDescent="0.35">
      <c r="A83" s="4" t="s">
        <v>8</v>
      </c>
      <c r="B83" s="3">
        <f>0.00000000000189</f>
        <v>1.8899999999999998E-12</v>
      </c>
    </row>
    <row r="84" spans="1:2" x14ac:dyDescent="0.35">
      <c r="A84" s="4" t="s">
        <v>10</v>
      </c>
      <c r="B84" s="3">
        <v>3.5699999999999997E-11</v>
      </c>
    </row>
    <row r="85" spans="1:2" x14ac:dyDescent="0.35">
      <c r="A85" s="4" t="s">
        <v>11</v>
      </c>
      <c r="B85" s="3">
        <v>1.4399999999999999E-10</v>
      </c>
    </row>
    <row r="86" spans="1:2" x14ac:dyDescent="0.35">
      <c r="A86" s="4" t="s">
        <v>9</v>
      </c>
      <c r="B86" s="3">
        <v>1.8E-9</v>
      </c>
    </row>
    <row r="87" spans="1:2" x14ac:dyDescent="0.35">
      <c r="A87" s="4" t="s">
        <v>12</v>
      </c>
      <c r="B87" s="3">
        <f>0.00000000000025*2</f>
        <v>4.9999999999999999E-13</v>
      </c>
    </row>
    <row r="88" spans="1:2" x14ac:dyDescent="0.35">
      <c r="A88" s="4" t="s">
        <v>13</v>
      </c>
      <c r="B88" s="3">
        <f>0.000000000014*2</f>
        <v>2.8E-11</v>
      </c>
    </row>
    <row r="91" spans="1:2" x14ac:dyDescent="0.35">
      <c r="A91" s="4" t="s">
        <v>14</v>
      </c>
      <c r="B91" s="3">
        <f>8*B83</f>
        <v>1.5119999999999999E-11</v>
      </c>
    </row>
    <row r="92" spans="1:2" x14ac:dyDescent="0.35">
      <c r="A92" s="4" t="s">
        <v>15</v>
      </c>
      <c r="B92" s="3">
        <f t="shared" ref="B92:B96" si="0">8*B84</f>
        <v>2.8559999999999998E-10</v>
      </c>
    </row>
    <row r="93" spans="1:2" x14ac:dyDescent="0.35">
      <c r="A93" s="4" t="s">
        <v>16</v>
      </c>
      <c r="B93" s="3">
        <f t="shared" si="0"/>
        <v>1.152E-9</v>
      </c>
    </row>
    <row r="94" spans="1:2" x14ac:dyDescent="0.35">
      <c r="A94" s="4" t="s">
        <v>17</v>
      </c>
      <c r="B94" s="3">
        <f t="shared" si="0"/>
        <v>1.44E-8</v>
      </c>
    </row>
    <row r="95" spans="1:2" x14ac:dyDescent="0.35">
      <c r="A95" s="4" t="s">
        <v>19</v>
      </c>
      <c r="B95" s="3">
        <f t="shared" si="0"/>
        <v>3.9999999999999999E-12</v>
      </c>
    </row>
    <row r="96" spans="1:2" x14ac:dyDescent="0.35">
      <c r="A96" s="4" t="s">
        <v>18</v>
      </c>
      <c r="B96" s="3">
        <f t="shared" si="0"/>
        <v>2.24E-10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1E39-B76F-416A-B550-F96050A3B37E}">
  <dimension ref="A1:E151"/>
  <sheetViews>
    <sheetView workbookViewId="0">
      <selection activeCell="C2" sqref="C2:D151"/>
    </sheetView>
  </sheetViews>
  <sheetFormatPr defaultRowHeight="14.5" x14ac:dyDescent="0.35"/>
  <cols>
    <col min="2" max="2" width="28.1796875" customWidth="1"/>
    <col min="3" max="3" width="28.1796875" style="13" customWidth="1"/>
    <col min="4" max="5" width="28.1796875" customWidth="1"/>
  </cols>
  <sheetData>
    <row r="1" spans="1:5" ht="18.5" x14ac:dyDescent="0.35">
      <c r="A1" s="8" t="s">
        <v>20</v>
      </c>
      <c r="B1" s="7" t="s">
        <v>4</v>
      </c>
      <c r="C1" s="7" t="str">
        <f>REF_U238!B1</f>
        <v>Yield</v>
      </c>
      <c r="D1" s="7" t="str">
        <f>REF_U238!C1</f>
        <v>Energy</v>
      </c>
      <c r="E1" s="7" t="s">
        <v>4</v>
      </c>
    </row>
    <row r="2" spans="1:5" ht="18.5" x14ac:dyDescent="0.35">
      <c r="A2" s="1"/>
      <c r="B2" s="5">
        <v>1</v>
      </c>
      <c r="C2" s="14" cm="1">
        <f t="array" ref="C2:C71">(target_total_fg_u232/Y_fg_U238)*fg_yield_ref</f>
        <v>6.9198872248301959E-14</v>
      </c>
      <c r="D2" s="14">
        <v>1.4800000000000001E-2</v>
      </c>
      <c r="E2" s="6" t="s">
        <v>0</v>
      </c>
    </row>
    <row r="3" spans="1:5" ht="18.5" x14ac:dyDescent="0.35">
      <c r="A3" s="1"/>
      <c r="B3" s="5">
        <v>1</v>
      </c>
      <c r="C3" s="14">
        <v>1.2890502460726393E-13</v>
      </c>
      <c r="D3" s="14">
        <v>0.03</v>
      </c>
      <c r="E3" s="6" t="s">
        <v>1</v>
      </c>
    </row>
    <row r="4" spans="1:5" ht="18.5" x14ac:dyDescent="0.35">
      <c r="A4" s="1"/>
      <c r="B4" s="5">
        <v>1</v>
      </c>
      <c r="C4" s="14">
        <v>1.8048637119094554E-13</v>
      </c>
      <c r="D4" s="14">
        <v>3.1399999999999997E-2</v>
      </c>
      <c r="E4" s="6" t="s">
        <v>0</v>
      </c>
    </row>
    <row r="5" spans="1:5" ht="18.5" x14ac:dyDescent="0.35">
      <c r="A5" s="1"/>
      <c r="B5" s="5">
        <v>1</v>
      </c>
      <c r="C5" s="14">
        <v>5.231938239654661E-15</v>
      </c>
      <c r="D5" s="14">
        <v>4.53E-2</v>
      </c>
      <c r="E5" s="6" t="s">
        <v>0</v>
      </c>
    </row>
    <row r="6" spans="1:5" ht="18.5" x14ac:dyDescent="0.35">
      <c r="A6" s="1"/>
      <c r="B6" s="5">
        <v>1</v>
      </c>
      <c r="C6" s="14">
        <v>1.2890502460726393E-13</v>
      </c>
      <c r="D6" s="14">
        <v>0.05</v>
      </c>
      <c r="E6" s="6" t="s">
        <v>1</v>
      </c>
    </row>
    <row r="7" spans="1:5" ht="18.5" x14ac:dyDescent="0.35">
      <c r="A7" s="1"/>
      <c r="B7" s="5">
        <v>1</v>
      </c>
      <c r="C7" s="14">
        <v>7.4533180475991647E-15</v>
      </c>
      <c r="D7" s="14">
        <v>5.5300000000000002E-2</v>
      </c>
      <c r="E7" s="6" t="s">
        <v>0</v>
      </c>
    </row>
    <row r="8" spans="1:5" ht="18.5" x14ac:dyDescent="0.35">
      <c r="A8" s="1"/>
      <c r="B8" s="5">
        <v>1</v>
      </c>
      <c r="C8" s="14">
        <v>1.2890502460726393E-13</v>
      </c>
      <c r="D8" s="14">
        <v>7.0000000000000007E-2</v>
      </c>
      <c r="E8" s="6" t="s">
        <v>1</v>
      </c>
    </row>
    <row r="9" spans="1:5" ht="18.5" x14ac:dyDescent="0.35">
      <c r="A9" s="1"/>
      <c r="B9" s="5">
        <v>1</v>
      </c>
      <c r="C9" s="14">
        <v>1.5198897602163007E-14</v>
      </c>
      <c r="D9" s="14">
        <v>7.5300000000000006E-2</v>
      </c>
      <c r="E9" s="6" t="s">
        <v>0</v>
      </c>
    </row>
    <row r="10" spans="1:5" ht="18.5" x14ac:dyDescent="0.35">
      <c r="A10" s="1"/>
      <c r="B10" s="5">
        <v>1</v>
      </c>
      <c r="C10" s="14">
        <v>2.1556078921112187E-14</v>
      </c>
      <c r="D10" s="14">
        <v>8.5300000000000001E-2</v>
      </c>
      <c r="E10" s="6" t="s">
        <v>0</v>
      </c>
    </row>
    <row r="11" spans="1:5" ht="18.5" x14ac:dyDescent="0.35">
      <c r="A11" s="1"/>
      <c r="B11" s="5">
        <v>1</v>
      </c>
      <c r="C11" s="14">
        <v>1.2890502460726393E-13</v>
      </c>
      <c r="D11" s="14">
        <v>0.09</v>
      </c>
      <c r="E11" s="6" t="s">
        <v>1</v>
      </c>
    </row>
    <row r="12" spans="1:5" ht="18.5" x14ac:dyDescent="0.35">
      <c r="A12" s="1"/>
      <c r="B12" s="5">
        <v>1</v>
      </c>
      <c r="C12" s="14">
        <v>3.0763134742966919E-14</v>
      </c>
      <c r="D12" s="14">
        <v>9.5299999999999996E-2</v>
      </c>
      <c r="E12" s="6" t="s">
        <v>0</v>
      </c>
    </row>
    <row r="13" spans="1:5" ht="18.5" x14ac:dyDescent="0.35">
      <c r="A13" s="1"/>
      <c r="B13" s="5">
        <v>1</v>
      </c>
      <c r="C13" s="14">
        <v>1.2890502460726393E-13</v>
      </c>
      <c r="D13" s="14">
        <v>0.11</v>
      </c>
      <c r="E13" s="6" t="s">
        <v>1</v>
      </c>
    </row>
    <row r="14" spans="1:5" ht="18.5" x14ac:dyDescent="0.35">
      <c r="A14" s="1"/>
      <c r="B14" s="5">
        <v>1</v>
      </c>
      <c r="C14" s="14">
        <v>1.023003015259473E-13</v>
      </c>
      <c r="D14" s="14">
        <v>0.11</v>
      </c>
      <c r="E14" s="6" t="s">
        <v>0</v>
      </c>
    </row>
    <row r="15" spans="1:5" ht="18.5" x14ac:dyDescent="0.35">
      <c r="A15" s="1"/>
      <c r="B15" s="5">
        <v>1</v>
      </c>
      <c r="C15" s="14">
        <v>1.2890502460726393E-13</v>
      </c>
      <c r="D15" s="14">
        <v>0.13</v>
      </c>
      <c r="E15" s="6" t="s">
        <v>1</v>
      </c>
    </row>
    <row r="16" spans="1:5" ht="18.5" x14ac:dyDescent="0.35">
      <c r="A16" s="1"/>
      <c r="B16" s="5">
        <v>1</v>
      </c>
      <c r="C16" s="14">
        <v>1.023003015259473E-13</v>
      </c>
      <c r="D16" s="14">
        <v>0.13</v>
      </c>
      <c r="E16" s="6" t="s">
        <v>0</v>
      </c>
    </row>
    <row r="17" spans="1:5" ht="18.5" x14ac:dyDescent="0.35">
      <c r="A17" s="1"/>
      <c r="B17" s="5">
        <v>1</v>
      </c>
      <c r="C17" s="14">
        <v>1.2890502460726393E-13</v>
      </c>
      <c r="D17" s="14">
        <v>0.15</v>
      </c>
      <c r="E17" s="6" t="s">
        <v>1</v>
      </c>
    </row>
    <row r="18" spans="1:5" ht="18.5" x14ac:dyDescent="0.35">
      <c r="A18" s="1"/>
      <c r="B18" s="5">
        <v>1</v>
      </c>
      <c r="C18" s="14">
        <v>1.023003015259473E-13</v>
      </c>
      <c r="D18" s="14">
        <v>0.15</v>
      </c>
      <c r="E18" s="6" t="s">
        <v>0</v>
      </c>
    </row>
    <row r="19" spans="1:5" ht="18.5" x14ac:dyDescent="0.35">
      <c r="A19" s="1"/>
      <c r="B19" s="5">
        <v>1</v>
      </c>
      <c r="C19" s="14">
        <v>1.2890502460726393E-13</v>
      </c>
      <c r="D19" s="14">
        <v>0.17</v>
      </c>
      <c r="E19" s="6" t="s">
        <v>1</v>
      </c>
    </row>
    <row r="20" spans="1:5" ht="18.5" x14ac:dyDescent="0.35">
      <c r="A20" s="1"/>
      <c r="B20" s="5">
        <v>1</v>
      </c>
      <c r="C20" s="14">
        <v>1.023003015259473E-13</v>
      </c>
      <c r="D20" s="14">
        <v>0.17</v>
      </c>
      <c r="E20" s="6" t="s">
        <v>0</v>
      </c>
    </row>
    <row r="21" spans="1:5" ht="18.5" x14ac:dyDescent="0.35">
      <c r="A21" s="1"/>
      <c r="B21" s="5">
        <v>1</v>
      </c>
      <c r="C21" s="14">
        <v>1.2890502460726393E-13</v>
      </c>
      <c r="D21" s="14">
        <v>0.19</v>
      </c>
      <c r="E21" s="6" t="s">
        <v>1</v>
      </c>
    </row>
    <row r="22" spans="1:5" ht="18.5" x14ac:dyDescent="0.35">
      <c r="A22" s="1"/>
      <c r="B22" s="5">
        <v>1</v>
      </c>
      <c r="C22" s="14">
        <v>1.023003015259473E-13</v>
      </c>
      <c r="D22" s="14">
        <v>0.19</v>
      </c>
      <c r="E22" s="6" t="s">
        <v>0</v>
      </c>
    </row>
    <row r="23" spans="1:5" ht="18.5" x14ac:dyDescent="0.35">
      <c r="A23" s="1"/>
      <c r="B23" s="5">
        <v>1</v>
      </c>
      <c r="C23" s="14">
        <v>3.1640374841523215E-13</v>
      </c>
      <c r="D23" s="14">
        <v>0.22500000000000001</v>
      </c>
      <c r="E23" s="6" t="s">
        <v>1</v>
      </c>
    </row>
    <row r="24" spans="1:5" ht="18.5" x14ac:dyDescent="0.35">
      <c r="A24" s="1"/>
      <c r="B24" s="5">
        <v>1</v>
      </c>
      <c r="C24" s="14">
        <v>2.5648178723033181E-13</v>
      </c>
      <c r="D24" s="14">
        <v>0.22500000000000001</v>
      </c>
      <c r="E24" s="6" t="s">
        <v>0</v>
      </c>
    </row>
    <row r="25" spans="1:5" ht="18.5" x14ac:dyDescent="0.35">
      <c r="A25" s="1"/>
      <c r="B25" s="5">
        <v>1</v>
      </c>
      <c r="C25" s="14">
        <v>3.1640374841523215E-13</v>
      </c>
      <c r="D25" s="14">
        <v>0.27500000000000002</v>
      </c>
      <c r="E25" s="6" t="s">
        <v>1</v>
      </c>
    </row>
    <row r="26" spans="1:5" ht="18.5" x14ac:dyDescent="0.35">
      <c r="A26" s="1"/>
      <c r="B26" s="5">
        <v>1</v>
      </c>
      <c r="C26" s="14">
        <v>2.5648178723033181E-13</v>
      </c>
      <c r="D26" s="14">
        <v>0.27500000000000002</v>
      </c>
      <c r="E26" s="6" t="s">
        <v>0</v>
      </c>
    </row>
    <row r="27" spans="1:5" ht="18.5" x14ac:dyDescent="0.35">
      <c r="A27" s="1"/>
      <c r="B27" s="5">
        <v>1</v>
      </c>
      <c r="C27" s="14">
        <v>3.1640374841523215E-13</v>
      </c>
      <c r="D27" s="14">
        <v>0.32500000000000001</v>
      </c>
      <c r="E27" s="6" t="s">
        <v>1</v>
      </c>
    </row>
    <row r="28" spans="1:5" ht="18.5" x14ac:dyDescent="0.35">
      <c r="A28" s="1"/>
      <c r="B28" s="5">
        <v>1</v>
      </c>
      <c r="C28" s="14">
        <v>2.5648178723033181E-13</v>
      </c>
      <c r="D28" s="14">
        <v>0.32500000000000001</v>
      </c>
      <c r="E28" s="6" t="s">
        <v>0</v>
      </c>
    </row>
    <row r="29" spans="1:5" ht="18.5" x14ac:dyDescent="0.35">
      <c r="A29" s="1"/>
      <c r="B29" s="5">
        <v>1</v>
      </c>
      <c r="C29" s="14">
        <v>3.1640374841523215E-13</v>
      </c>
      <c r="D29" s="14">
        <v>0.375</v>
      </c>
      <c r="E29" s="6" t="s">
        <v>1</v>
      </c>
    </row>
    <row r="30" spans="1:5" ht="18.5" x14ac:dyDescent="0.35">
      <c r="A30" s="1"/>
      <c r="B30" s="5">
        <v>1</v>
      </c>
      <c r="C30" s="14">
        <v>2.5648178723033181E-13</v>
      </c>
      <c r="D30" s="14">
        <v>0.375</v>
      </c>
      <c r="E30" s="6" t="s">
        <v>0</v>
      </c>
    </row>
    <row r="31" spans="1:5" ht="18.5" x14ac:dyDescent="0.35">
      <c r="A31" s="1"/>
      <c r="B31" s="5">
        <v>1</v>
      </c>
      <c r="C31" s="14">
        <v>2.5648178723033181E-13</v>
      </c>
      <c r="D31" s="14">
        <v>0.42499999999999999</v>
      </c>
      <c r="E31" s="6" t="s">
        <v>0</v>
      </c>
    </row>
    <row r="32" spans="1:5" ht="18.5" x14ac:dyDescent="0.35">
      <c r="A32" s="1"/>
      <c r="B32" s="5">
        <v>1</v>
      </c>
      <c r="C32" s="14">
        <v>8.9061720858005712E-13</v>
      </c>
      <c r="D32" s="14">
        <v>0.44</v>
      </c>
      <c r="E32" s="6" t="s">
        <v>1</v>
      </c>
    </row>
    <row r="33" spans="1:5" ht="18.5" x14ac:dyDescent="0.35">
      <c r="A33" s="1"/>
      <c r="B33" s="5">
        <v>1</v>
      </c>
      <c r="C33" s="14">
        <v>2.5648178723033181E-13</v>
      </c>
      <c r="D33" s="14">
        <v>0.47499999999999998</v>
      </c>
      <c r="E33" s="6" t="s">
        <v>0</v>
      </c>
    </row>
    <row r="34" spans="1:5" ht="18.5" x14ac:dyDescent="0.35">
      <c r="A34" s="1"/>
      <c r="B34" s="5">
        <v>1</v>
      </c>
      <c r="C34" s="14">
        <v>2.5648178723033181E-13</v>
      </c>
      <c r="D34" s="14">
        <v>0.52500000000000002</v>
      </c>
      <c r="E34" s="6" t="s">
        <v>0</v>
      </c>
    </row>
    <row r="35" spans="1:5" ht="18.5" x14ac:dyDescent="0.35">
      <c r="A35" s="1"/>
      <c r="B35" s="5">
        <v>1</v>
      </c>
      <c r="C35" s="14">
        <v>6.9139984617142854E-13</v>
      </c>
      <c r="D35" s="14">
        <v>0.54</v>
      </c>
      <c r="E35" s="6" t="s">
        <v>1</v>
      </c>
    </row>
    <row r="36" spans="1:5" ht="18.5" x14ac:dyDescent="0.35">
      <c r="A36" s="1"/>
      <c r="B36" s="5">
        <v>1</v>
      </c>
      <c r="C36" s="14">
        <v>2.5648178723033181E-13</v>
      </c>
      <c r="D36" s="14">
        <v>0.57499999999999996</v>
      </c>
      <c r="E36" s="6" t="s">
        <v>0</v>
      </c>
    </row>
    <row r="37" spans="1:5" ht="18.5" x14ac:dyDescent="0.35">
      <c r="A37" s="1"/>
      <c r="B37" s="5">
        <v>1</v>
      </c>
      <c r="C37" s="14">
        <v>5.3905805056024645E-13</v>
      </c>
      <c r="D37" s="14">
        <v>0.64</v>
      </c>
      <c r="E37" s="6" t="s">
        <v>1</v>
      </c>
    </row>
    <row r="38" spans="1:5" ht="18.5" x14ac:dyDescent="0.35">
      <c r="A38" s="1"/>
      <c r="B38" s="5">
        <v>1</v>
      </c>
      <c r="C38" s="14">
        <v>4.9396429861964832E-13</v>
      </c>
      <c r="D38" s="14">
        <v>0.64900000000000002</v>
      </c>
      <c r="E38" s="6" t="s">
        <v>0</v>
      </c>
    </row>
    <row r="39" spans="1:5" ht="18.5" x14ac:dyDescent="0.35">
      <c r="A39" s="1"/>
      <c r="B39" s="5">
        <v>1</v>
      </c>
      <c r="C39" s="14">
        <v>4.2187166455364288E-13</v>
      </c>
      <c r="D39" s="14">
        <v>0.74</v>
      </c>
      <c r="E39" s="6" t="s">
        <v>1</v>
      </c>
    </row>
    <row r="40" spans="1:5" ht="18.5" x14ac:dyDescent="0.35">
      <c r="A40" s="1"/>
      <c r="B40" s="5">
        <v>1</v>
      </c>
      <c r="C40" s="14">
        <v>4.1285460149019827E-13</v>
      </c>
      <c r="D40" s="14">
        <v>0.749</v>
      </c>
      <c r="E40" s="6" t="s">
        <v>0</v>
      </c>
    </row>
    <row r="41" spans="1:5" ht="18.5" x14ac:dyDescent="0.35">
      <c r="A41" s="1"/>
      <c r="B41" s="5">
        <v>1</v>
      </c>
      <c r="C41" s="14">
        <v>3.2812221828342504E-13</v>
      </c>
      <c r="D41" s="14">
        <v>0.84</v>
      </c>
      <c r="E41" s="6" t="s">
        <v>1</v>
      </c>
    </row>
    <row r="42" spans="1:5" ht="18.5" x14ac:dyDescent="0.35">
      <c r="A42" s="1"/>
      <c r="B42" s="5">
        <v>1</v>
      </c>
      <c r="C42" s="14">
        <v>3.4636051069599466E-13</v>
      </c>
      <c r="D42" s="14">
        <v>0.84899999999999998</v>
      </c>
      <c r="E42" s="6" t="s">
        <v>0</v>
      </c>
    </row>
    <row r="43" spans="1:5" ht="18.5" x14ac:dyDescent="0.35">
      <c r="A43" s="1"/>
      <c r="B43" s="5">
        <v>1</v>
      </c>
      <c r="C43" s="14">
        <v>2.8936437049762376E-13</v>
      </c>
      <c r="D43" s="14">
        <v>0.94899999999999995</v>
      </c>
      <c r="E43" s="6" t="s">
        <v>0</v>
      </c>
    </row>
    <row r="44" spans="1:5" ht="18.5" x14ac:dyDescent="0.35">
      <c r="A44" s="1"/>
      <c r="B44" s="5">
        <v>1</v>
      </c>
      <c r="C44" s="14">
        <v>2.4259847980405525E-13</v>
      </c>
      <c r="D44" s="14">
        <v>1.0489999999999999</v>
      </c>
      <c r="E44" s="6" t="s">
        <v>0</v>
      </c>
    </row>
    <row r="45" spans="1:5" ht="18.5" x14ac:dyDescent="0.35">
      <c r="A45" s="1"/>
      <c r="B45" s="5">
        <v>1</v>
      </c>
      <c r="C45" s="14">
        <v>1.3827996923428571E-12</v>
      </c>
      <c r="D45" s="14">
        <v>1.1000000000000001</v>
      </c>
      <c r="E45" s="6" t="s">
        <v>1</v>
      </c>
    </row>
    <row r="46" spans="1:5" ht="18.5" x14ac:dyDescent="0.35">
      <c r="A46" s="1"/>
      <c r="B46" s="5">
        <v>1</v>
      </c>
      <c r="C46" s="14">
        <v>2.024080933691401E-13</v>
      </c>
      <c r="D46" s="14">
        <v>1.149</v>
      </c>
      <c r="E46" s="6" t="s">
        <v>0</v>
      </c>
    </row>
    <row r="47" spans="1:5" ht="18.5" x14ac:dyDescent="0.35">
      <c r="A47" s="1"/>
      <c r="B47" s="5">
        <v>1</v>
      </c>
      <c r="C47" s="14">
        <v>1.6952551010184823E-13</v>
      </c>
      <c r="D47" s="14">
        <v>1.25</v>
      </c>
      <c r="E47" s="6" t="s">
        <v>0</v>
      </c>
    </row>
    <row r="48" spans="1:5" ht="18.5" x14ac:dyDescent="0.35">
      <c r="A48" s="1"/>
      <c r="B48" s="5">
        <v>1</v>
      </c>
      <c r="C48" s="14">
        <v>1.4175906398176258E-13</v>
      </c>
      <c r="D48" s="14">
        <v>1.35</v>
      </c>
      <c r="E48" s="6" t="s">
        <v>0</v>
      </c>
    </row>
    <row r="49" spans="1:5" ht="18.5" x14ac:dyDescent="0.35">
      <c r="A49" s="1"/>
      <c r="B49" s="5">
        <v>1</v>
      </c>
      <c r="C49" s="14">
        <v>1.1837611863497835E-13</v>
      </c>
      <c r="D49" s="14">
        <v>1.45</v>
      </c>
      <c r="E49" s="6" t="s">
        <v>0</v>
      </c>
    </row>
    <row r="50" spans="1:5" ht="18.5" x14ac:dyDescent="0.35">
      <c r="A50" s="1"/>
      <c r="B50" s="5">
        <v>1</v>
      </c>
      <c r="C50" s="14">
        <v>8.4374164178261073E-13</v>
      </c>
      <c r="D50" s="14">
        <v>1.56</v>
      </c>
      <c r="E50" s="6" t="s">
        <v>1</v>
      </c>
    </row>
    <row r="51" spans="1:5" ht="18.5" x14ac:dyDescent="0.35">
      <c r="A51" s="1"/>
      <c r="B51" s="5">
        <v>1</v>
      </c>
      <c r="C51" s="14">
        <v>4.2016240465782149E-13</v>
      </c>
      <c r="D51" s="14">
        <v>1.73</v>
      </c>
      <c r="E51" s="6" t="s">
        <v>0</v>
      </c>
    </row>
    <row r="52" spans="1:5" ht="18.5" x14ac:dyDescent="0.35">
      <c r="A52" s="1"/>
      <c r="B52" s="5">
        <v>1</v>
      </c>
      <c r="C52" s="14">
        <v>4.4530860429002856E-13</v>
      </c>
      <c r="D52" s="14">
        <v>2</v>
      </c>
      <c r="E52" s="6" t="s">
        <v>1</v>
      </c>
    </row>
    <row r="53" spans="1:5" ht="18.5" x14ac:dyDescent="0.35">
      <c r="A53" s="1"/>
      <c r="B53" s="5">
        <v>1</v>
      </c>
      <c r="C53" s="14">
        <v>2.4405970297264489E-13</v>
      </c>
      <c r="D53" s="14">
        <v>2.23</v>
      </c>
      <c r="E53" s="6" t="s">
        <v>0</v>
      </c>
    </row>
    <row r="54" spans="1:5" ht="18.5" x14ac:dyDescent="0.35">
      <c r="A54" s="1"/>
      <c r="B54" s="5">
        <v>1</v>
      </c>
      <c r="C54" s="14">
        <v>3.2812221828342504E-13</v>
      </c>
      <c r="D54" s="14">
        <v>2.4</v>
      </c>
      <c r="E54" s="6" t="s">
        <v>1</v>
      </c>
    </row>
    <row r="55" spans="1:5" ht="18.5" x14ac:dyDescent="0.35">
      <c r="A55" s="1"/>
      <c r="B55" s="5">
        <v>1</v>
      </c>
      <c r="C55" s="14">
        <v>1.4102828366500024E-13</v>
      </c>
      <c r="D55" s="14">
        <v>2.73</v>
      </c>
      <c r="E55" s="6" t="s">
        <v>0</v>
      </c>
    </row>
    <row r="56" spans="1:5" ht="18.5" x14ac:dyDescent="0.35">
      <c r="A56" s="1"/>
      <c r="B56" s="5">
        <v>1</v>
      </c>
      <c r="C56" s="14">
        <v>1.8749889254043571E-13</v>
      </c>
      <c r="D56" s="14">
        <v>2.8</v>
      </c>
      <c r="E56" s="6" t="s">
        <v>1</v>
      </c>
    </row>
    <row r="57" spans="1:5" ht="18.5" x14ac:dyDescent="0.35">
      <c r="A57" s="1"/>
      <c r="B57" s="5">
        <v>1</v>
      </c>
      <c r="C57" s="14">
        <v>8.1840308713744841E-14</v>
      </c>
      <c r="D57" s="14">
        <v>3.23</v>
      </c>
      <c r="E57" s="6" t="s">
        <v>0</v>
      </c>
    </row>
    <row r="58" spans="1:5" ht="18.5" x14ac:dyDescent="0.35">
      <c r="A58" s="1"/>
      <c r="B58" s="5">
        <v>1</v>
      </c>
      <c r="C58" s="14">
        <v>1.4062366320792429E-13</v>
      </c>
      <c r="D58" s="14">
        <v>3.25</v>
      </c>
      <c r="E58" s="6" t="s">
        <v>1</v>
      </c>
    </row>
    <row r="59" spans="1:5" ht="18.5" x14ac:dyDescent="0.35">
      <c r="A59" s="1"/>
      <c r="B59" s="5">
        <v>1</v>
      </c>
      <c r="C59" s="14">
        <v>4.7496502277863296E-14</v>
      </c>
      <c r="D59" s="14">
        <v>3.73</v>
      </c>
      <c r="E59" s="6" t="s">
        <v>0</v>
      </c>
    </row>
    <row r="60" spans="1:5" ht="18.5" x14ac:dyDescent="0.35">
      <c r="A60" s="1"/>
      <c r="B60" s="5">
        <v>1</v>
      </c>
      <c r="C60" s="14">
        <v>1.0078035945866606E-13</v>
      </c>
      <c r="D60" s="14">
        <v>3.75</v>
      </c>
      <c r="E60" s="6" t="s">
        <v>1</v>
      </c>
    </row>
    <row r="61" spans="1:5" ht="18.5" x14ac:dyDescent="0.35">
      <c r="A61" s="1"/>
      <c r="B61" s="5">
        <v>1</v>
      </c>
      <c r="C61" s="14">
        <v>2.7547937574667208E-14</v>
      </c>
      <c r="D61" s="14">
        <v>4.2300000000000004</v>
      </c>
      <c r="E61" s="6" t="s">
        <v>0</v>
      </c>
    </row>
    <row r="62" spans="1:5" ht="18.5" x14ac:dyDescent="0.35">
      <c r="A62" s="1"/>
      <c r="B62" s="5">
        <v>1</v>
      </c>
      <c r="C62" s="14">
        <v>4.9218248376279998E-14</v>
      </c>
      <c r="D62" s="14">
        <v>4.25</v>
      </c>
      <c r="E62" s="6" t="s">
        <v>1</v>
      </c>
    </row>
    <row r="63" spans="1:5" ht="18.5" x14ac:dyDescent="0.35">
      <c r="A63" s="1"/>
      <c r="B63" s="5">
        <v>1</v>
      </c>
      <c r="C63" s="14">
        <v>1.5929627299185074E-14</v>
      </c>
      <c r="D63" s="14">
        <v>4.7300000000000004</v>
      </c>
      <c r="E63" s="6" t="s">
        <v>0</v>
      </c>
    </row>
    <row r="64" spans="1:5" ht="18.5" x14ac:dyDescent="0.35">
      <c r="A64" s="1"/>
      <c r="B64" s="5">
        <v>1</v>
      </c>
      <c r="C64" s="14">
        <v>2.3437277201320714E-14</v>
      </c>
      <c r="D64" s="14">
        <v>4.75</v>
      </c>
      <c r="E64" s="6" t="s">
        <v>1</v>
      </c>
    </row>
    <row r="65" spans="1:5" ht="18.5" x14ac:dyDescent="0.35">
      <c r="A65" s="1"/>
      <c r="B65" s="5">
        <v>1</v>
      </c>
      <c r="C65" s="14">
        <v>9.2801001070374647E-15</v>
      </c>
      <c r="D65" s="14">
        <v>5.23</v>
      </c>
      <c r="E65" s="6" t="s">
        <v>0</v>
      </c>
    </row>
    <row r="66" spans="1:5" ht="18.5" x14ac:dyDescent="0.35">
      <c r="A66" s="1"/>
      <c r="B66" s="5">
        <v>1</v>
      </c>
      <c r="C66" s="14">
        <v>1.1132715107250713E-14</v>
      </c>
      <c r="D66" s="14">
        <v>5.25</v>
      </c>
      <c r="E66" s="6" t="s">
        <v>1</v>
      </c>
    </row>
    <row r="67" spans="1:5" ht="18.5" x14ac:dyDescent="0.35">
      <c r="A67" s="1"/>
      <c r="B67" s="5">
        <v>1</v>
      </c>
      <c r="C67" s="14">
        <v>8.4763092515859126E-15</v>
      </c>
      <c r="D67" s="14">
        <v>5.91</v>
      </c>
      <c r="E67" s="6" t="s">
        <v>0</v>
      </c>
    </row>
    <row r="68" spans="1:5" ht="18.5" x14ac:dyDescent="0.35">
      <c r="A68" s="1"/>
      <c r="B68" s="5">
        <v>1</v>
      </c>
      <c r="C68" s="14">
        <v>2.8497901366717979E-15</v>
      </c>
      <c r="D68" s="14">
        <v>6.91</v>
      </c>
      <c r="E68" s="6" t="s">
        <v>0</v>
      </c>
    </row>
    <row r="69" spans="1:5" ht="18.5" x14ac:dyDescent="0.35">
      <c r="A69" s="1"/>
      <c r="B69" s="5">
        <v>1</v>
      </c>
      <c r="C69" s="14">
        <v>9.4993173288194093E-16</v>
      </c>
      <c r="D69" s="14">
        <v>7.91</v>
      </c>
      <c r="E69" s="6" t="s">
        <v>0</v>
      </c>
    </row>
    <row r="70" spans="1:5" ht="18.5" x14ac:dyDescent="0.35">
      <c r="A70" s="1"/>
      <c r="B70" s="5">
        <v>1</v>
      </c>
      <c r="C70" s="14">
        <v>3.2151465485594579E-16</v>
      </c>
      <c r="D70" s="14">
        <v>8.91</v>
      </c>
      <c r="E70" s="6" t="s">
        <v>0</v>
      </c>
    </row>
    <row r="71" spans="1:5" ht="18.5" x14ac:dyDescent="0.35">
      <c r="A71" s="1"/>
      <c r="B71" s="5">
        <v>1</v>
      </c>
      <c r="C71" s="14">
        <v>1.0960742976370049E-16</v>
      </c>
      <c r="D71" s="14">
        <v>9.91</v>
      </c>
      <c r="E71" s="6" t="s">
        <v>0</v>
      </c>
    </row>
    <row r="72" spans="1:5" x14ac:dyDescent="0.35">
      <c r="C72" s="15"/>
      <c r="D72" s="16"/>
    </row>
    <row r="73" spans="1:5" x14ac:dyDescent="0.35">
      <c r="C73" s="15"/>
      <c r="D73" s="16"/>
    </row>
    <row r="74" spans="1:5" x14ac:dyDescent="0.35">
      <c r="C74" s="15"/>
      <c r="D74" s="16"/>
    </row>
    <row r="75" spans="1:5" x14ac:dyDescent="0.35">
      <c r="C75" s="15"/>
      <c r="D75" s="16"/>
    </row>
    <row r="76" spans="1:5" x14ac:dyDescent="0.35">
      <c r="C76" s="15"/>
      <c r="D76" s="16"/>
    </row>
    <row r="77" spans="1:5" x14ac:dyDescent="0.35">
      <c r="C77" s="15"/>
      <c r="D77" s="16"/>
    </row>
    <row r="78" spans="1:5" x14ac:dyDescent="0.35">
      <c r="C78" s="15"/>
      <c r="D78" s="16"/>
    </row>
    <row r="79" spans="1:5" x14ac:dyDescent="0.35">
      <c r="C79" s="15"/>
      <c r="D79" s="16"/>
    </row>
    <row r="80" spans="1:5" x14ac:dyDescent="0.35">
      <c r="C80" s="15"/>
      <c r="D80" s="16"/>
    </row>
    <row r="81" spans="3:4" x14ac:dyDescent="0.35">
      <c r="C81" s="15"/>
      <c r="D81" s="16"/>
    </row>
    <row r="82" spans="3:4" x14ac:dyDescent="0.35">
      <c r="C82" s="15"/>
      <c r="D82" s="16"/>
    </row>
    <row r="83" spans="3:4" x14ac:dyDescent="0.35">
      <c r="C83" s="15"/>
      <c r="D83" s="16"/>
    </row>
    <row r="84" spans="3:4" x14ac:dyDescent="0.35">
      <c r="C84" s="15"/>
      <c r="D84" s="16"/>
    </row>
    <row r="85" spans="3:4" x14ac:dyDescent="0.35">
      <c r="C85" s="15"/>
      <c r="D85" s="16"/>
    </row>
    <row r="86" spans="3:4" x14ac:dyDescent="0.35">
      <c r="C86" s="15"/>
      <c r="D86" s="16"/>
    </row>
    <row r="87" spans="3:4" x14ac:dyDescent="0.35">
      <c r="C87" s="15"/>
      <c r="D87" s="16"/>
    </row>
    <row r="88" spans="3:4" x14ac:dyDescent="0.35">
      <c r="C88" s="15"/>
      <c r="D88" s="16"/>
    </row>
    <row r="89" spans="3:4" x14ac:dyDescent="0.35">
      <c r="C89" s="15"/>
      <c r="D89" s="16"/>
    </row>
    <row r="90" spans="3:4" x14ac:dyDescent="0.35">
      <c r="C90" s="15"/>
      <c r="D90" s="16"/>
    </row>
    <row r="91" spans="3:4" x14ac:dyDescent="0.35">
      <c r="C91" s="15"/>
      <c r="D91" s="16"/>
    </row>
    <row r="92" spans="3:4" x14ac:dyDescent="0.35">
      <c r="C92" s="15"/>
      <c r="D92" s="16"/>
    </row>
    <row r="93" spans="3:4" x14ac:dyDescent="0.35">
      <c r="C93" s="15"/>
      <c r="D93" s="16"/>
    </row>
    <row r="94" spans="3:4" x14ac:dyDescent="0.35">
      <c r="C94" s="15"/>
      <c r="D94" s="16"/>
    </row>
    <row r="95" spans="3:4" x14ac:dyDescent="0.35">
      <c r="C95" s="15"/>
      <c r="D95" s="16"/>
    </row>
    <row r="96" spans="3:4" x14ac:dyDescent="0.35">
      <c r="C96" s="15"/>
      <c r="D96" s="16"/>
    </row>
    <row r="97" spans="3:5" x14ac:dyDescent="0.35">
      <c r="C97" s="15"/>
      <c r="D97" s="16"/>
    </row>
    <row r="98" spans="3:5" x14ac:dyDescent="0.35">
      <c r="C98" s="15"/>
      <c r="D98" s="16"/>
    </row>
    <row r="99" spans="3:5" x14ac:dyDescent="0.35">
      <c r="C99" s="15"/>
      <c r="D99" s="16"/>
    </row>
    <row r="100" spans="3:5" x14ac:dyDescent="0.35">
      <c r="C100" s="15"/>
      <c r="D100" s="16"/>
    </row>
    <row r="101" spans="3:5" x14ac:dyDescent="0.35">
      <c r="C101" s="15"/>
      <c r="D101" s="16"/>
    </row>
    <row r="102" spans="3:5" x14ac:dyDescent="0.35">
      <c r="C102" s="15"/>
      <c r="D102" s="16"/>
    </row>
    <row r="103" spans="3:5" x14ac:dyDescent="0.35">
      <c r="C103" s="15"/>
      <c r="D103" s="16"/>
    </row>
    <row r="104" spans="3:5" x14ac:dyDescent="0.35">
      <c r="C104" s="15"/>
      <c r="D104" s="16"/>
    </row>
    <row r="105" spans="3:5" x14ac:dyDescent="0.35">
      <c r="C105" s="15"/>
      <c r="D105" s="16"/>
    </row>
    <row r="106" spans="3:5" x14ac:dyDescent="0.35">
      <c r="C106" s="15"/>
      <c r="D106" s="16"/>
    </row>
    <row r="107" spans="3:5" x14ac:dyDescent="0.35">
      <c r="C107" s="15"/>
      <c r="D107" s="16"/>
      <c r="E107">
        <f>206+70</f>
        <v>276</v>
      </c>
    </row>
    <row r="108" spans="3:5" x14ac:dyDescent="0.35">
      <c r="C108" s="15"/>
      <c r="D108" s="16"/>
    </row>
    <row r="109" spans="3:5" x14ac:dyDescent="0.35">
      <c r="C109" s="15"/>
      <c r="D109" s="16"/>
    </row>
    <row r="110" spans="3:5" x14ac:dyDescent="0.35">
      <c r="C110" s="15"/>
      <c r="D110" s="16"/>
    </row>
    <row r="111" spans="3:5" x14ac:dyDescent="0.35">
      <c r="C111" s="15"/>
      <c r="D111" s="16"/>
    </row>
    <row r="112" spans="3:5" x14ac:dyDescent="0.35">
      <c r="C112" s="15"/>
      <c r="D112" s="16"/>
    </row>
    <row r="113" spans="3:4" x14ac:dyDescent="0.35">
      <c r="C113" s="15"/>
      <c r="D113" s="16"/>
    </row>
    <row r="114" spans="3:4" x14ac:dyDescent="0.35">
      <c r="C114" s="15"/>
      <c r="D114" s="16"/>
    </row>
    <row r="115" spans="3:4" x14ac:dyDescent="0.35">
      <c r="C115" s="15"/>
      <c r="D115" s="16"/>
    </row>
    <row r="116" spans="3:4" x14ac:dyDescent="0.35">
      <c r="C116" s="15"/>
      <c r="D116" s="16"/>
    </row>
    <row r="117" spans="3:4" x14ac:dyDescent="0.35">
      <c r="C117" s="15"/>
      <c r="D117" s="16"/>
    </row>
    <row r="118" spans="3:4" x14ac:dyDescent="0.35">
      <c r="C118" s="15"/>
      <c r="D118" s="16"/>
    </row>
    <row r="119" spans="3:4" x14ac:dyDescent="0.35">
      <c r="C119" s="15"/>
      <c r="D119" s="16"/>
    </row>
    <row r="120" spans="3:4" x14ac:dyDescent="0.35">
      <c r="C120" s="15"/>
      <c r="D120" s="16"/>
    </row>
    <row r="121" spans="3:4" x14ac:dyDescent="0.35">
      <c r="C121" s="15"/>
      <c r="D121" s="16"/>
    </row>
    <row r="122" spans="3:4" x14ac:dyDescent="0.35">
      <c r="C122" s="15"/>
      <c r="D122" s="16"/>
    </row>
    <row r="123" spans="3:4" x14ac:dyDescent="0.35">
      <c r="C123" s="15"/>
      <c r="D123" s="16"/>
    </row>
    <row r="124" spans="3:4" x14ac:dyDescent="0.35">
      <c r="C124" s="15"/>
      <c r="D124" s="16"/>
    </row>
    <row r="125" spans="3:4" x14ac:dyDescent="0.35">
      <c r="C125" s="15"/>
      <c r="D125" s="16"/>
    </row>
    <row r="126" spans="3:4" x14ac:dyDescent="0.35">
      <c r="C126" s="15"/>
      <c r="D126" s="16"/>
    </row>
    <row r="127" spans="3:4" x14ac:dyDescent="0.35">
      <c r="C127" s="15"/>
      <c r="D127" s="16"/>
    </row>
    <row r="128" spans="3:4" x14ac:dyDescent="0.35">
      <c r="C128" s="15"/>
      <c r="D128" s="16"/>
    </row>
    <row r="129" spans="3:4" x14ac:dyDescent="0.35">
      <c r="C129" s="15"/>
      <c r="D129" s="16"/>
    </row>
    <row r="130" spans="3:4" x14ac:dyDescent="0.35">
      <c r="C130" s="15"/>
      <c r="D130" s="16"/>
    </row>
    <row r="131" spans="3:4" x14ac:dyDescent="0.35">
      <c r="C131" s="15"/>
      <c r="D131" s="16"/>
    </row>
    <row r="132" spans="3:4" x14ac:dyDescent="0.35">
      <c r="C132" s="15"/>
      <c r="D132" s="16"/>
    </row>
    <row r="133" spans="3:4" x14ac:dyDescent="0.35">
      <c r="C133" s="15"/>
      <c r="D133" s="16"/>
    </row>
    <row r="134" spans="3:4" x14ac:dyDescent="0.35">
      <c r="C134" s="15"/>
      <c r="D134" s="16"/>
    </row>
    <row r="135" spans="3:4" x14ac:dyDescent="0.35">
      <c r="C135" s="15"/>
      <c r="D135" s="16"/>
    </row>
    <row r="136" spans="3:4" x14ac:dyDescent="0.35">
      <c r="C136" s="15"/>
      <c r="D136" s="16"/>
    </row>
    <row r="137" spans="3:4" x14ac:dyDescent="0.35">
      <c r="C137" s="15"/>
      <c r="D137" s="16"/>
    </row>
    <row r="138" spans="3:4" x14ac:dyDescent="0.35">
      <c r="C138" s="15"/>
      <c r="D138" s="16"/>
    </row>
    <row r="139" spans="3:4" x14ac:dyDescent="0.35">
      <c r="C139" s="15"/>
      <c r="D139" s="16"/>
    </row>
    <row r="140" spans="3:4" x14ac:dyDescent="0.35">
      <c r="C140" s="15"/>
      <c r="D140" s="16"/>
    </row>
    <row r="141" spans="3:4" x14ac:dyDescent="0.35">
      <c r="C141" s="15"/>
      <c r="D141" s="16"/>
    </row>
    <row r="142" spans="3:4" x14ac:dyDescent="0.35">
      <c r="C142" s="15"/>
      <c r="D142" s="16"/>
    </row>
    <row r="143" spans="3:4" x14ac:dyDescent="0.35">
      <c r="C143" s="15"/>
      <c r="D143" s="16"/>
    </row>
    <row r="144" spans="3:4" x14ac:dyDescent="0.35">
      <c r="C144" s="15"/>
      <c r="D144" s="16"/>
    </row>
    <row r="145" spans="3:4" x14ac:dyDescent="0.35">
      <c r="C145" s="15"/>
      <c r="D145" s="16"/>
    </row>
    <row r="146" spans="3:4" x14ac:dyDescent="0.35">
      <c r="C146" s="15"/>
      <c r="D146" s="16"/>
    </row>
    <row r="147" spans="3:4" x14ac:dyDescent="0.35">
      <c r="C147" s="15"/>
      <c r="D147" s="16"/>
    </row>
    <row r="148" spans="3:4" x14ac:dyDescent="0.35">
      <c r="C148" s="15"/>
      <c r="D148" s="16"/>
    </row>
    <row r="149" spans="3:4" x14ac:dyDescent="0.35">
      <c r="C149" s="15"/>
      <c r="D149" s="16"/>
    </row>
    <row r="150" spans="3:4" x14ac:dyDescent="0.35">
      <c r="C150" s="15"/>
      <c r="D150" s="16"/>
    </row>
    <row r="151" spans="3:4" x14ac:dyDescent="0.35">
      <c r="C151" s="15"/>
      <c r="D151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04C2-7FB9-461D-AF68-C83A154DE291}">
  <dimension ref="A1:J151"/>
  <sheetViews>
    <sheetView topLeftCell="A45" workbookViewId="0">
      <selection activeCell="B2" sqref="B2:E71"/>
    </sheetView>
  </sheetViews>
  <sheetFormatPr defaultRowHeight="14.5" x14ac:dyDescent="0.35"/>
  <cols>
    <col min="2" max="2" width="28.1796875" customWidth="1"/>
    <col min="3" max="3" width="28.1796875" style="13" customWidth="1"/>
    <col min="4" max="5" width="28.1796875" customWidth="1"/>
  </cols>
  <sheetData>
    <row r="1" spans="1:5" ht="18.5" x14ac:dyDescent="0.35">
      <c r="A1" s="8" t="s">
        <v>20</v>
      </c>
      <c r="B1" s="7" t="s">
        <v>4</v>
      </c>
      <c r="C1" s="7" t="str">
        <f>REF_U238!B1</f>
        <v>Yield</v>
      </c>
      <c r="D1" s="7" t="str">
        <f>REF_U238!C1</f>
        <v>Energy</v>
      </c>
      <c r="E1" s="7" t="s">
        <v>4</v>
      </c>
    </row>
    <row r="2" spans="1:5" ht="18.5" x14ac:dyDescent="0.35">
      <c r="A2" s="1"/>
      <c r="B2" s="5">
        <v>1</v>
      </c>
      <c r="C2" s="14" cm="1">
        <f t="array" ref="C2:C71">(target_total_fg_u234/Y_fg_U238)*fg_yield_ref</f>
        <v>1.3070898091345926E-12</v>
      </c>
      <c r="D2" s="14">
        <v>1.4800000000000001E-2</v>
      </c>
      <c r="E2" s="6" t="s">
        <v>0</v>
      </c>
    </row>
    <row r="3" spans="1:5" ht="18.5" x14ac:dyDescent="0.35">
      <c r="A3" s="1"/>
      <c r="B3" s="5">
        <v>1</v>
      </c>
      <c r="C3" s="14">
        <v>2.4348726870260962E-12</v>
      </c>
      <c r="D3" s="14">
        <v>0.03</v>
      </c>
      <c r="E3" s="6" t="s">
        <v>1</v>
      </c>
    </row>
    <row r="4" spans="1:5" ht="18.5" x14ac:dyDescent="0.35">
      <c r="A4" s="1"/>
      <c r="B4" s="5">
        <v>1</v>
      </c>
      <c r="C4" s="14">
        <v>3.409187011384527E-12</v>
      </c>
      <c r="D4" s="14">
        <v>3.1399999999999997E-2</v>
      </c>
      <c r="E4" s="6" t="s">
        <v>0</v>
      </c>
    </row>
    <row r="5" spans="1:5" ht="18.5" x14ac:dyDescent="0.35">
      <c r="A5" s="1"/>
      <c r="B5" s="5">
        <v>1</v>
      </c>
      <c r="C5" s="14">
        <v>9.8825500082365822E-14</v>
      </c>
      <c r="D5" s="14">
        <v>4.53E-2</v>
      </c>
      <c r="E5" s="6" t="s">
        <v>0</v>
      </c>
    </row>
    <row r="6" spans="1:5" ht="18.5" x14ac:dyDescent="0.35">
      <c r="A6" s="1"/>
      <c r="B6" s="5">
        <v>1</v>
      </c>
      <c r="C6" s="14">
        <v>2.4348726870260962E-12</v>
      </c>
      <c r="D6" s="14">
        <v>0.05</v>
      </c>
      <c r="E6" s="6" t="s">
        <v>1</v>
      </c>
    </row>
    <row r="7" spans="1:5" ht="18.5" x14ac:dyDescent="0.35">
      <c r="A7" s="1"/>
      <c r="B7" s="5">
        <v>1</v>
      </c>
      <c r="C7" s="14">
        <v>1.4078489645465089E-13</v>
      </c>
      <c r="D7" s="14">
        <v>5.5300000000000002E-2</v>
      </c>
      <c r="E7" s="6" t="s">
        <v>0</v>
      </c>
    </row>
    <row r="8" spans="1:5" ht="18.5" x14ac:dyDescent="0.35">
      <c r="A8" s="1"/>
      <c r="B8" s="5">
        <v>1</v>
      </c>
      <c r="C8" s="14">
        <v>2.4348726870260962E-12</v>
      </c>
      <c r="D8" s="14">
        <v>7.0000000000000007E-2</v>
      </c>
      <c r="E8" s="6" t="s">
        <v>1</v>
      </c>
    </row>
    <row r="9" spans="1:5" ht="18.5" x14ac:dyDescent="0.35">
      <c r="A9" s="1"/>
      <c r="B9" s="5">
        <v>1</v>
      </c>
      <c r="C9" s="14">
        <v>2.8709028804085683E-13</v>
      </c>
      <c r="D9" s="14">
        <v>7.5300000000000006E-2</v>
      </c>
      <c r="E9" s="6" t="s">
        <v>0</v>
      </c>
    </row>
    <row r="10" spans="1:5" ht="18.5" x14ac:dyDescent="0.35">
      <c r="A10" s="1"/>
      <c r="B10" s="5">
        <v>1</v>
      </c>
      <c r="C10" s="14">
        <v>4.0717037962100803E-13</v>
      </c>
      <c r="D10" s="14">
        <v>8.5300000000000001E-2</v>
      </c>
      <c r="E10" s="6" t="s">
        <v>0</v>
      </c>
    </row>
    <row r="11" spans="1:5" ht="18.5" x14ac:dyDescent="0.35">
      <c r="A11" s="1"/>
      <c r="B11" s="5">
        <v>1</v>
      </c>
      <c r="C11" s="14">
        <v>2.4348726870260962E-12</v>
      </c>
      <c r="D11" s="14">
        <v>0.09</v>
      </c>
      <c r="E11" s="6" t="s">
        <v>1</v>
      </c>
    </row>
    <row r="12" spans="1:5" ht="18.5" x14ac:dyDescent="0.35">
      <c r="A12" s="1"/>
      <c r="B12" s="5">
        <v>1</v>
      </c>
      <c r="C12" s="14">
        <v>5.8108143403381961E-13</v>
      </c>
      <c r="D12" s="14">
        <v>9.5299999999999996E-2</v>
      </c>
      <c r="E12" s="6" t="s">
        <v>0</v>
      </c>
    </row>
    <row r="13" spans="1:5" ht="18.5" x14ac:dyDescent="0.35">
      <c r="A13" s="1"/>
      <c r="B13" s="5">
        <v>1</v>
      </c>
      <c r="C13" s="14">
        <v>2.4348726870260962E-12</v>
      </c>
      <c r="D13" s="14">
        <v>0.11</v>
      </c>
      <c r="E13" s="6" t="s">
        <v>1</v>
      </c>
    </row>
    <row r="14" spans="1:5" ht="18.5" x14ac:dyDescent="0.35">
      <c r="A14" s="1"/>
      <c r="B14" s="5">
        <v>1</v>
      </c>
      <c r="C14" s="14">
        <v>1.932339028823449E-12</v>
      </c>
      <c r="D14" s="14">
        <v>0.11</v>
      </c>
      <c r="E14" s="6" t="s">
        <v>0</v>
      </c>
    </row>
    <row r="15" spans="1:5" ht="18.5" x14ac:dyDescent="0.35">
      <c r="A15" s="1"/>
      <c r="B15" s="5">
        <v>1</v>
      </c>
      <c r="C15" s="14">
        <v>2.4348726870260962E-12</v>
      </c>
      <c r="D15" s="14">
        <v>0.13</v>
      </c>
      <c r="E15" s="6" t="s">
        <v>1</v>
      </c>
    </row>
    <row r="16" spans="1:5" ht="18.5" x14ac:dyDescent="0.35">
      <c r="A16" s="1"/>
      <c r="B16" s="5">
        <v>1</v>
      </c>
      <c r="C16" s="14">
        <v>1.932339028823449E-12</v>
      </c>
      <c r="D16" s="14">
        <v>0.13</v>
      </c>
      <c r="E16" s="6" t="s">
        <v>0</v>
      </c>
    </row>
    <row r="17" spans="1:5" ht="18.5" x14ac:dyDescent="0.35">
      <c r="A17" s="1"/>
      <c r="B17" s="5">
        <v>1</v>
      </c>
      <c r="C17" s="14">
        <v>2.4348726870260962E-12</v>
      </c>
      <c r="D17" s="14">
        <v>0.15</v>
      </c>
      <c r="E17" s="6" t="s">
        <v>1</v>
      </c>
    </row>
    <row r="18" spans="1:5" ht="18.5" x14ac:dyDescent="0.35">
      <c r="A18" s="1"/>
      <c r="B18" s="5">
        <v>1</v>
      </c>
      <c r="C18" s="14">
        <v>1.932339028823449E-12</v>
      </c>
      <c r="D18" s="14">
        <v>0.15</v>
      </c>
      <c r="E18" s="6" t="s">
        <v>0</v>
      </c>
    </row>
    <row r="19" spans="1:5" ht="18.5" x14ac:dyDescent="0.35">
      <c r="A19" s="1"/>
      <c r="B19" s="5">
        <v>1</v>
      </c>
      <c r="C19" s="14">
        <v>2.4348726870260962E-12</v>
      </c>
      <c r="D19" s="14">
        <v>0.17</v>
      </c>
      <c r="E19" s="6" t="s">
        <v>1</v>
      </c>
    </row>
    <row r="20" spans="1:5" ht="18.5" x14ac:dyDescent="0.35">
      <c r="A20" s="1"/>
      <c r="B20" s="5">
        <v>1</v>
      </c>
      <c r="C20" s="14">
        <v>1.932339028823449E-12</v>
      </c>
      <c r="D20" s="14">
        <v>0.17</v>
      </c>
      <c r="E20" s="6" t="s">
        <v>0</v>
      </c>
    </row>
    <row r="21" spans="1:5" ht="18.5" x14ac:dyDescent="0.35">
      <c r="A21" s="1"/>
      <c r="B21" s="5">
        <v>1</v>
      </c>
      <c r="C21" s="14">
        <v>2.4348726870260962E-12</v>
      </c>
      <c r="D21" s="14">
        <v>0.19</v>
      </c>
      <c r="E21" s="6" t="s">
        <v>1</v>
      </c>
    </row>
    <row r="22" spans="1:5" ht="18.5" x14ac:dyDescent="0.35">
      <c r="A22" s="1"/>
      <c r="B22" s="5">
        <v>1</v>
      </c>
      <c r="C22" s="14">
        <v>1.932339028823449E-12</v>
      </c>
      <c r="D22" s="14">
        <v>0.19</v>
      </c>
      <c r="E22" s="6" t="s">
        <v>0</v>
      </c>
    </row>
    <row r="23" spans="1:5" ht="18.5" x14ac:dyDescent="0.35">
      <c r="A23" s="1"/>
      <c r="B23" s="5">
        <v>1</v>
      </c>
      <c r="C23" s="14">
        <v>5.9765152478432741E-12</v>
      </c>
      <c r="D23" s="14">
        <v>0.22500000000000001</v>
      </c>
      <c r="E23" s="6" t="s">
        <v>1</v>
      </c>
    </row>
    <row r="24" spans="1:5" ht="18.5" x14ac:dyDescent="0.35">
      <c r="A24" s="1"/>
      <c r="B24" s="5">
        <v>1</v>
      </c>
      <c r="C24" s="14">
        <v>4.8446559810173785E-12</v>
      </c>
      <c r="D24" s="14">
        <v>0.22500000000000001</v>
      </c>
      <c r="E24" s="6" t="s">
        <v>0</v>
      </c>
    </row>
    <row r="25" spans="1:5" ht="18.5" x14ac:dyDescent="0.35">
      <c r="A25" s="1"/>
      <c r="B25" s="5">
        <v>1</v>
      </c>
      <c r="C25" s="14">
        <v>5.9765152478432741E-12</v>
      </c>
      <c r="D25" s="14">
        <v>0.27500000000000002</v>
      </c>
      <c r="E25" s="6" t="s">
        <v>1</v>
      </c>
    </row>
    <row r="26" spans="1:5" ht="18.5" x14ac:dyDescent="0.35">
      <c r="A26" s="1"/>
      <c r="B26" s="5">
        <v>1</v>
      </c>
      <c r="C26" s="14">
        <v>4.8446559810173785E-12</v>
      </c>
      <c r="D26" s="14">
        <v>0.27500000000000002</v>
      </c>
      <c r="E26" s="6" t="s">
        <v>0</v>
      </c>
    </row>
    <row r="27" spans="1:5" ht="18.5" x14ac:dyDescent="0.35">
      <c r="A27" s="1"/>
      <c r="B27" s="5">
        <v>1</v>
      </c>
      <c r="C27" s="14">
        <v>5.9765152478432741E-12</v>
      </c>
      <c r="D27" s="14">
        <v>0.32500000000000001</v>
      </c>
      <c r="E27" s="6" t="s">
        <v>1</v>
      </c>
    </row>
    <row r="28" spans="1:5" ht="18.5" x14ac:dyDescent="0.35">
      <c r="A28" s="1"/>
      <c r="B28" s="5">
        <v>1</v>
      </c>
      <c r="C28" s="14">
        <v>4.8446559810173785E-12</v>
      </c>
      <c r="D28" s="14">
        <v>0.32500000000000001</v>
      </c>
      <c r="E28" s="6" t="s">
        <v>0</v>
      </c>
    </row>
    <row r="29" spans="1:5" ht="18.5" x14ac:dyDescent="0.35">
      <c r="A29" s="1"/>
      <c r="B29" s="5">
        <v>1</v>
      </c>
      <c r="C29" s="14">
        <v>5.9765152478432741E-12</v>
      </c>
      <c r="D29" s="14">
        <v>0.375</v>
      </c>
      <c r="E29" s="6" t="s">
        <v>1</v>
      </c>
    </row>
    <row r="30" spans="1:5" ht="18.5" x14ac:dyDescent="0.35">
      <c r="A30" s="1"/>
      <c r="B30" s="5">
        <v>1</v>
      </c>
      <c r="C30" s="14">
        <v>4.8446559810173785E-12</v>
      </c>
      <c r="D30" s="14">
        <v>0.375</v>
      </c>
      <c r="E30" s="6" t="s">
        <v>0</v>
      </c>
    </row>
    <row r="31" spans="1:5" ht="18.5" x14ac:dyDescent="0.35">
      <c r="A31" s="1"/>
      <c r="B31" s="5">
        <v>1</v>
      </c>
      <c r="C31" s="14">
        <v>4.8446559810173785E-12</v>
      </c>
      <c r="D31" s="14">
        <v>0.42499999999999999</v>
      </c>
      <c r="E31" s="6" t="s">
        <v>0</v>
      </c>
    </row>
    <row r="32" spans="1:5" ht="18.5" x14ac:dyDescent="0.35">
      <c r="A32" s="1"/>
      <c r="B32" s="5">
        <v>1</v>
      </c>
      <c r="C32" s="14">
        <v>1.6822769495401078E-11</v>
      </c>
      <c r="D32" s="14">
        <v>0.44</v>
      </c>
      <c r="E32" s="6" t="s">
        <v>1</v>
      </c>
    </row>
    <row r="33" spans="1:5" ht="18.5" x14ac:dyDescent="0.35">
      <c r="A33" s="1"/>
      <c r="B33" s="5">
        <v>1</v>
      </c>
      <c r="C33" s="14">
        <v>4.8446559810173785E-12</v>
      </c>
      <c r="D33" s="14">
        <v>0.47499999999999998</v>
      </c>
      <c r="E33" s="6" t="s">
        <v>0</v>
      </c>
    </row>
    <row r="34" spans="1:5" ht="18.5" x14ac:dyDescent="0.35">
      <c r="A34" s="1"/>
      <c r="B34" s="5">
        <v>1</v>
      </c>
      <c r="C34" s="14">
        <v>4.8446559810173785E-12</v>
      </c>
      <c r="D34" s="14">
        <v>0.52500000000000002</v>
      </c>
      <c r="E34" s="6" t="s">
        <v>0</v>
      </c>
    </row>
    <row r="35" spans="1:5" ht="18.5" x14ac:dyDescent="0.35">
      <c r="A35" s="1"/>
      <c r="B35" s="5">
        <v>1</v>
      </c>
      <c r="C35" s="14">
        <v>1.3059774872126985E-11</v>
      </c>
      <c r="D35" s="14">
        <v>0.54</v>
      </c>
      <c r="E35" s="6" t="s">
        <v>1</v>
      </c>
    </row>
    <row r="36" spans="1:5" ht="18.5" x14ac:dyDescent="0.35">
      <c r="A36" s="1"/>
      <c r="B36" s="5">
        <v>1</v>
      </c>
      <c r="C36" s="14">
        <v>4.8446559810173785E-12</v>
      </c>
      <c r="D36" s="14">
        <v>0.57499999999999996</v>
      </c>
      <c r="E36" s="6" t="s">
        <v>0</v>
      </c>
    </row>
    <row r="37" spans="1:5" ht="18.5" x14ac:dyDescent="0.35">
      <c r="A37" s="1"/>
      <c r="B37" s="5">
        <v>1</v>
      </c>
      <c r="C37" s="14">
        <v>1.0182207621693545E-11</v>
      </c>
      <c r="D37" s="14">
        <v>0.64</v>
      </c>
      <c r="E37" s="6" t="s">
        <v>1</v>
      </c>
    </row>
    <row r="38" spans="1:5" ht="18.5" x14ac:dyDescent="0.35">
      <c r="A38" s="1"/>
      <c r="B38" s="5">
        <v>1</v>
      </c>
      <c r="C38" s="14">
        <v>9.3304367517044688E-12</v>
      </c>
      <c r="D38" s="14">
        <v>0.64900000000000002</v>
      </c>
      <c r="E38" s="6" t="s">
        <v>0</v>
      </c>
    </row>
    <row r="39" spans="1:5" ht="18.5" x14ac:dyDescent="0.35">
      <c r="A39" s="1"/>
      <c r="B39" s="5">
        <v>1</v>
      </c>
      <c r="C39" s="14">
        <v>7.9686869971243655E-12</v>
      </c>
      <c r="D39" s="14">
        <v>0.74</v>
      </c>
      <c r="E39" s="6" t="s">
        <v>1</v>
      </c>
    </row>
    <row r="40" spans="1:5" ht="18.5" x14ac:dyDescent="0.35">
      <c r="A40" s="1"/>
      <c r="B40" s="5">
        <v>1</v>
      </c>
      <c r="C40" s="14">
        <v>7.7983646948148565E-12</v>
      </c>
      <c r="D40" s="14">
        <v>0.749</v>
      </c>
      <c r="E40" s="6" t="s">
        <v>0</v>
      </c>
    </row>
    <row r="41" spans="1:5" ht="18.5" x14ac:dyDescent="0.35">
      <c r="A41" s="1"/>
      <c r="B41" s="5">
        <v>1</v>
      </c>
      <c r="C41" s="14">
        <v>6.1978641231313618E-12</v>
      </c>
      <c r="D41" s="14">
        <v>0.84</v>
      </c>
      <c r="E41" s="6" t="s">
        <v>1</v>
      </c>
    </row>
    <row r="42" spans="1:5" ht="18.5" x14ac:dyDescent="0.35">
      <c r="A42" s="1"/>
      <c r="B42" s="5">
        <v>1</v>
      </c>
      <c r="C42" s="14">
        <v>6.542365202035455E-12</v>
      </c>
      <c r="D42" s="14">
        <v>0.84899999999999998</v>
      </c>
      <c r="E42" s="6" t="s">
        <v>0</v>
      </c>
    </row>
    <row r="43" spans="1:5" ht="18.5" x14ac:dyDescent="0.35">
      <c r="A43" s="1"/>
      <c r="B43" s="5">
        <v>1</v>
      </c>
      <c r="C43" s="14">
        <v>5.4657714427328937E-12</v>
      </c>
      <c r="D43" s="14">
        <v>0.94899999999999995</v>
      </c>
      <c r="E43" s="6" t="s">
        <v>0</v>
      </c>
    </row>
    <row r="44" spans="1:5" ht="18.5" x14ac:dyDescent="0.35">
      <c r="A44" s="1"/>
      <c r="B44" s="5">
        <v>1</v>
      </c>
      <c r="C44" s="14">
        <v>4.5824157296321554E-12</v>
      </c>
      <c r="D44" s="14">
        <v>1.0489999999999999</v>
      </c>
      <c r="E44" s="6" t="s">
        <v>0</v>
      </c>
    </row>
    <row r="45" spans="1:5" ht="18.5" x14ac:dyDescent="0.35">
      <c r="A45" s="1"/>
      <c r="B45" s="5">
        <v>1</v>
      </c>
      <c r="C45" s="14">
        <v>2.611954974425397E-11</v>
      </c>
      <c r="D45" s="14">
        <v>1.1000000000000001</v>
      </c>
      <c r="E45" s="6" t="s">
        <v>1</v>
      </c>
    </row>
    <row r="46" spans="1:5" ht="18.5" x14ac:dyDescent="0.35">
      <c r="A46" s="1"/>
      <c r="B46" s="5">
        <v>1</v>
      </c>
      <c r="C46" s="14">
        <v>3.8232639858615356E-12</v>
      </c>
      <c r="D46" s="14">
        <v>1.149</v>
      </c>
      <c r="E46" s="6" t="s">
        <v>0</v>
      </c>
    </row>
    <row r="47" spans="1:5" ht="18.5" x14ac:dyDescent="0.35">
      <c r="A47" s="1"/>
      <c r="B47" s="5">
        <v>1</v>
      </c>
      <c r="C47" s="14">
        <v>3.202148524146022E-12</v>
      </c>
      <c r="D47" s="14">
        <v>1.25</v>
      </c>
      <c r="E47" s="6" t="s">
        <v>0</v>
      </c>
    </row>
    <row r="48" spans="1:5" ht="18.5" x14ac:dyDescent="0.35">
      <c r="A48" s="1"/>
      <c r="B48" s="5">
        <v>1</v>
      </c>
      <c r="C48" s="14">
        <v>2.6776712085444047E-12</v>
      </c>
      <c r="D48" s="14">
        <v>1.35</v>
      </c>
      <c r="E48" s="6" t="s">
        <v>0</v>
      </c>
    </row>
    <row r="49" spans="1:10" ht="18.5" x14ac:dyDescent="0.35">
      <c r="A49" s="1"/>
      <c r="B49" s="5">
        <v>1</v>
      </c>
      <c r="C49" s="14">
        <v>2.2359933519940356E-12</v>
      </c>
      <c r="D49" s="14">
        <v>1.45</v>
      </c>
      <c r="E49" s="6" t="s">
        <v>0</v>
      </c>
    </row>
    <row r="50" spans="1:10" ht="18.5" x14ac:dyDescent="0.35">
      <c r="A50" s="1"/>
      <c r="B50" s="5">
        <v>1</v>
      </c>
      <c r="C50" s="14">
        <v>1.5937342122560426E-11</v>
      </c>
      <c r="D50" s="14">
        <v>1.56</v>
      </c>
      <c r="E50" s="6" t="s">
        <v>1</v>
      </c>
    </row>
    <row r="51" spans="1:10" ht="18.5" x14ac:dyDescent="0.35">
      <c r="A51" s="1"/>
      <c r="B51" s="5">
        <v>1</v>
      </c>
      <c r="C51" s="14">
        <v>7.9364009768699627E-12</v>
      </c>
      <c r="D51" s="14">
        <v>1.73</v>
      </c>
      <c r="E51" s="6" t="s">
        <v>0</v>
      </c>
    </row>
    <row r="52" spans="1:10" ht="18.5" x14ac:dyDescent="0.35">
      <c r="A52" s="1"/>
      <c r="B52" s="5">
        <v>1</v>
      </c>
      <c r="C52" s="14">
        <v>8.4113847477005392E-12</v>
      </c>
      <c r="D52" s="14">
        <v>2</v>
      </c>
      <c r="E52" s="6" t="s">
        <v>1</v>
      </c>
    </row>
    <row r="53" spans="1:10" ht="18.5" x14ac:dyDescent="0.35">
      <c r="A53" s="1"/>
      <c r="B53" s="5">
        <v>1</v>
      </c>
      <c r="C53" s="14">
        <v>4.6100166117055151E-12</v>
      </c>
      <c r="D53" s="14">
        <v>2.23</v>
      </c>
      <c r="E53" s="6" t="s">
        <v>0</v>
      </c>
    </row>
    <row r="54" spans="1:10" ht="18.5" x14ac:dyDescent="0.35">
      <c r="A54" s="1"/>
      <c r="B54" s="5">
        <v>1</v>
      </c>
      <c r="C54" s="14">
        <v>6.1978641231313618E-12</v>
      </c>
      <c r="D54" s="14">
        <v>2.4</v>
      </c>
      <c r="E54" s="6" t="s">
        <v>1</v>
      </c>
    </row>
    <row r="55" spans="1:10" ht="18.5" x14ac:dyDescent="0.35">
      <c r="A55" s="1"/>
      <c r="B55" s="5">
        <v>1</v>
      </c>
      <c r="C55" s="14">
        <v>2.6638675803388937E-12</v>
      </c>
      <c r="D55" s="14">
        <v>2.73</v>
      </c>
      <c r="E55" s="6" t="s">
        <v>0</v>
      </c>
    </row>
    <row r="56" spans="1:10" ht="18.5" x14ac:dyDescent="0.35">
      <c r="A56" s="1"/>
      <c r="B56" s="5">
        <v>1</v>
      </c>
      <c r="C56" s="14">
        <v>3.5416457479860082E-12</v>
      </c>
      <c r="D56" s="14">
        <v>2.8</v>
      </c>
      <c r="E56" s="6" t="s">
        <v>1</v>
      </c>
      <c r="J56">
        <f>158+70</f>
        <v>228</v>
      </c>
    </row>
    <row r="57" spans="1:10" ht="18.5" x14ac:dyDescent="0.35">
      <c r="A57" s="1"/>
      <c r="B57" s="5">
        <v>1</v>
      </c>
      <c r="C57" s="14">
        <v>1.5458724979262915E-12</v>
      </c>
      <c r="D57" s="14">
        <v>3.23</v>
      </c>
      <c r="E57" s="6" t="s">
        <v>0</v>
      </c>
    </row>
    <row r="58" spans="1:10" ht="18.5" x14ac:dyDescent="0.35">
      <c r="A58" s="1"/>
      <c r="B58" s="5">
        <v>1</v>
      </c>
      <c r="C58" s="14">
        <v>2.6562247494830146E-12</v>
      </c>
      <c r="D58" s="14">
        <v>3.25</v>
      </c>
      <c r="E58" s="6" t="s">
        <v>1</v>
      </c>
    </row>
    <row r="59" spans="1:10" ht="18.5" x14ac:dyDescent="0.35">
      <c r="A59" s="1"/>
      <c r="B59" s="5">
        <v>1</v>
      </c>
      <c r="C59" s="14">
        <v>8.9715615413741786E-13</v>
      </c>
      <c r="D59" s="14">
        <v>3.73</v>
      </c>
      <c r="E59" s="6" t="s">
        <v>0</v>
      </c>
    </row>
    <row r="60" spans="1:10" ht="18.5" x14ac:dyDescent="0.35">
      <c r="A60" s="1"/>
      <c r="B60" s="5">
        <v>1</v>
      </c>
      <c r="C60" s="14">
        <v>1.903629011997026E-12</v>
      </c>
      <c r="D60" s="14">
        <v>3.75</v>
      </c>
      <c r="E60" s="6" t="s">
        <v>1</v>
      </c>
    </row>
    <row r="61" spans="1:10" ht="18.5" x14ac:dyDescent="0.35">
      <c r="A61" s="1"/>
      <c r="B61" s="5">
        <v>1</v>
      </c>
      <c r="C61" s="14">
        <v>5.2034993196593619E-13</v>
      </c>
      <c r="D61" s="14">
        <v>4.2300000000000004</v>
      </c>
      <c r="E61" s="6" t="s">
        <v>0</v>
      </c>
    </row>
    <row r="62" spans="1:10" ht="18.5" x14ac:dyDescent="0.35">
      <c r="A62" s="1"/>
      <c r="B62" s="5">
        <v>1</v>
      </c>
      <c r="C62" s="14">
        <v>9.2967802488528887E-13</v>
      </c>
      <c r="D62" s="14">
        <v>4.25</v>
      </c>
      <c r="E62" s="6" t="s">
        <v>1</v>
      </c>
    </row>
    <row r="63" spans="1:10" ht="18.5" x14ac:dyDescent="0.35">
      <c r="A63" s="1"/>
      <c r="B63" s="5">
        <v>1</v>
      </c>
      <c r="C63" s="14">
        <v>3.008929600957181E-13</v>
      </c>
      <c r="D63" s="14">
        <v>4.7300000000000004</v>
      </c>
      <c r="E63" s="6" t="s">
        <v>0</v>
      </c>
    </row>
    <row r="64" spans="1:10" ht="18.5" x14ac:dyDescent="0.35">
      <c r="A64" s="1"/>
      <c r="B64" s="5">
        <v>1</v>
      </c>
      <c r="C64" s="14">
        <v>4.4270412491383572E-13</v>
      </c>
      <c r="D64" s="14">
        <v>4.75</v>
      </c>
      <c r="E64" s="6" t="s">
        <v>1</v>
      </c>
    </row>
    <row r="65" spans="1:5" ht="18.5" x14ac:dyDescent="0.35">
      <c r="A65" s="1"/>
      <c r="B65" s="5">
        <v>1</v>
      </c>
      <c r="C65" s="14">
        <v>1.7529077979959655E-13</v>
      </c>
      <c r="D65" s="14">
        <v>5.23</v>
      </c>
      <c r="E65" s="6" t="s">
        <v>0</v>
      </c>
    </row>
    <row r="66" spans="1:5" ht="18.5" x14ac:dyDescent="0.35">
      <c r="A66" s="1"/>
      <c r="B66" s="5">
        <v>1</v>
      </c>
      <c r="C66" s="14">
        <v>2.102846186925135E-13</v>
      </c>
      <c r="D66" s="14">
        <v>5.25</v>
      </c>
      <c r="E66" s="6" t="s">
        <v>1</v>
      </c>
    </row>
    <row r="67" spans="1:5" ht="18.5" x14ac:dyDescent="0.35">
      <c r="A67" s="1"/>
      <c r="B67" s="5">
        <v>1</v>
      </c>
      <c r="C67" s="14">
        <v>1.6010806364106723E-13</v>
      </c>
      <c r="D67" s="14">
        <v>5.91</v>
      </c>
      <c r="E67" s="6" t="s">
        <v>0</v>
      </c>
    </row>
    <row r="68" spans="1:5" ht="18.5" x14ac:dyDescent="0.35">
      <c r="A68" s="1"/>
      <c r="B68" s="5">
        <v>1</v>
      </c>
      <c r="C68" s="14">
        <v>5.3829369248245069E-14</v>
      </c>
      <c r="D68" s="14">
        <v>6.91</v>
      </c>
      <c r="E68" s="6" t="s">
        <v>0</v>
      </c>
    </row>
    <row r="69" spans="1:5" ht="18.5" x14ac:dyDescent="0.35">
      <c r="A69" s="1"/>
      <c r="B69" s="5">
        <v>1</v>
      </c>
      <c r="C69" s="14">
        <v>1.7943154954436663E-14</v>
      </c>
      <c r="D69" s="14">
        <v>7.91</v>
      </c>
      <c r="E69" s="6" t="s">
        <v>0</v>
      </c>
    </row>
    <row r="70" spans="1:5" ht="18.5" x14ac:dyDescent="0.35">
      <c r="A70" s="1"/>
      <c r="B70" s="5">
        <v>1</v>
      </c>
      <c r="C70" s="14">
        <v>6.0730545917234208E-15</v>
      </c>
      <c r="D70" s="14">
        <v>8.91</v>
      </c>
      <c r="E70" s="6" t="s">
        <v>0</v>
      </c>
    </row>
    <row r="71" spans="1:5" ht="18.5" x14ac:dyDescent="0.35">
      <c r="A71" s="1"/>
      <c r="B71" s="5">
        <v>1</v>
      </c>
      <c r="C71" s="14">
        <v>2.0703625622032316E-15</v>
      </c>
      <c r="D71" s="14">
        <v>9.91</v>
      </c>
      <c r="E71" s="6" t="s">
        <v>0</v>
      </c>
    </row>
    <row r="72" spans="1:5" x14ac:dyDescent="0.35">
      <c r="C72" s="15"/>
      <c r="D72" s="16"/>
    </row>
    <row r="73" spans="1:5" x14ac:dyDescent="0.35">
      <c r="C73" s="15"/>
      <c r="D73" s="16"/>
    </row>
    <row r="74" spans="1:5" x14ac:dyDescent="0.35">
      <c r="C74" s="15"/>
      <c r="D74" s="16"/>
    </row>
    <row r="75" spans="1:5" x14ac:dyDescent="0.35">
      <c r="C75" s="15"/>
      <c r="D75" s="16"/>
    </row>
    <row r="76" spans="1:5" x14ac:dyDescent="0.35">
      <c r="C76" s="15"/>
      <c r="D76" s="16"/>
    </row>
    <row r="77" spans="1:5" x14ac:dyDescent="0.35">
      <c r="C77" s="15"/>
      <c r="D77" s="16"/>
    </row>
    <row r="78" spans="1:5" x14ac:dyDescent="0.35">
      <c r="C78" s="15"/>
      <c r="D78" s="16"/>
    </row>
    <row r="79" spans="1:5" x14ac:dyDescent="0.35">
      <c r="C79" s="15"/>
      <c r="D79" s="16"/>
    </row>
    <row r="80" spans="1:5" x14ac:dyDescent="0.35">
      <c r="C80" s="15"/>
      <c r="D80" s="16"/>
    </row>
    <row r="81" spans="3:4" x14ac:dyDescent="0.35">
      <c r="C81" s="15"/>
      <c r="D81" s="16"/>
    </row>
    <row r="82" spans="3:4" x14ac:dyDescent="0.35">
      <c r="C82" s="15"/>
      <c r="D82" s="16"/>
    </row>
    <row r="83" spans="3:4" x14ac:dyDescent="0.35">
      <c r="C83" s="15"/>
      <c r="D83" s="16"/>
    </row>
    <row r="84" spans="3:4" x14ac:dyDescent="0.35">
      <c r="C84" s="15"/>
      <c r="D84" s="16"/>
    </row>
    <row r="85" spans="3:4" x14ac:dyDescent="0.35">
      <c r="C85" s="15"/>
      <c r="D85" s="16"/>
    </row>
    <row r="86" spans="3:4" x14ac:dyDescent="0.35">
      <c r="C86" s="15"/>
      <c r="D86" s="16"/>
    </row>
    <row r="87" spans="3:4" x14ac:dyDescent="0.35">
      <c r="C87" s="15"/>
      <c r="D87" s="16"/>
    </row>
    <row r="88" spans="3:4" x14ac:dyDescent="0.35">
      <c r="C88" s="15"/>
      <c r="D88" s="16"/>
    </row>
    <row r="89" spans="3:4" x14ac:dyDescent="0.35">
      <c r="C89" s="15"/>
      <c r="D89" s="16"/>
    </row>
    <row r="90" spans="3:4" x14ac:dyDescent="0.35">
      <c r="C90" s="15"/>
      <c r="D90" s="16"/>
    </row>
    <row r="91" spans="3:4" x14ac:dyDescent="0.35">
      <c r="C91" s="15"/>
      <c r="D91" s="16"/>
    </row>
    <row r="92" spans="3:4" x14ac:dyDescent="0.35">
      <c r="C92" s="15"/>
      <c r="D92" s="16"/>
    </row>
    <row r="93" spans="3:4" x14ac:dyDescent="0.35">
      <c r="C93" s="15"/>
      <c r="D93" s="16"/>
    </row>
    <row r="94" spans="3:4" x14ac:dyDescent="0.35">
      <c r="C94" s="15"/>
      <c r="D94" s="16"/>
    </row>
    <row r="95" spans="3:4" x14ac:dyDescent="0.35">
      <c r="C95" s="15"/>
      <c r="D95" s="16"/>
    </row>
    <row r="96" spans="3:4" x14ac:dyDescent="0.35">
      <c r="C96" s="15"/>
      <c r="D96" s="16"/>
    </row>
    <row r="97" spans="3:4" x14ac:dyDescent="0.35">
      <c r="C97" s="15"/>
      <c r="D97" s="16"/>
    </row>
    <row r="98" spans="3:4" x14ac:dyDescent="0.35">
      <c r="C98" s="15"/>
      <c r="D98" s="16"/>
    </row>
    <row r="99" spans="3:4" x14ac:dyDescent="0.35">
      <c r="C99" s="15"/>
      <c r="D99" s="16"/>
    </row>
    <row r="100" spans="3:4" x14ac:dyDescent="0.35">
      <c r="C100" s="15"/>
      <c r="D100" s="16"/>
    </row>
    <row r="101" spans="3:4" x14ac:dyDescent="0.35">
      <c r="C101" s="15"/>
      <c r="D101" s="16"/>
    </row>
    <row r="102" spans="3:4" x14ac:dyDescent="0.35">
      <c r="C102" s="15"/>
      <c r="D102" s="16"/>
    </row>
    <row r="103" spans="3:4" x14ac:dyDescent="0.35">
      <c r="C103" s="15"/>
      <c r="D103" s="16"/>
    </row>
    <row r="104" spans="3:4" x14ac:dyDescent="0.35">
      <c r="C104" s="15"/>
      <c r="D104" s="16"/>
    </row>
    <row r="105" spans="3:4" x14ac:dyDescent="0.35">
      <c r="C105" s="15"/>
      <c r="D105" s="16"/>
    </row>
    <row r="106" spans="3:4" x14ac:dyDescent="0.35">
      <c r="C106" s="15"/>
      <c r="D106" s="16"/>
    </row>
    <row r="107" spans="3:4" x14ac:dyDescent="0.35">
      <c r="C107" s="15"/>
      <c r="D107" s="16"/>
    </row>
    <row r="108" spans="3:4" x14ac:dyDescent="0.35">
      <c r="C108" s="15"/>
      <c r="D108" s="16"/>
    </row>
    <row r="109" spans="3:4" x14ac:dyDescent="0.35">
      <c r="C109" s="15"/>
      <c r="D109" s="16"/>
    </row>
    <row r="110" spans="3:4" x14ac:dyDescent="0.35">
      <c r="C110" s="15"/>
      <c r="D110" s="16"/>
    </row>
    <row r="111" spans="3:4" x14ac:dyDescent="0.35">
      <c r="C111" s="15"/>
      <c r="D111" s="16"/>
    </row>
    <row r="112" spans="3:4" x14ac:dyDescent="0.35">
      <c r="C112" s="15"/>
      <c r="D112" s="16"/>
    </row>
    <row r="113" spans="3:4" x14ac:dyDescent="0.35">
      <c r="C113" s="15"/>
      <c r="D113" s="16"/>
    </row>
    <row r="114" spans="3:4" x14ac:dyDescent="0.35">
      <c r="C114" s="15"/>
      <c r="D114" s="16"/>
    </row>
    <row r="115" spans="3:4" x14ac:dyDescent="0.35">
      <c r="C115" s="15"/>
      <c r="D115" s="16"/>
    </row>
    <row r="116" spans="3:4" x14ac:dyDescent="0.35">
      <c r="C116" s="15"/>
      <c r="D116" s="16"/>
    </row>
    <row r="117" spans="3:4" x14ac:dyDescent="0.35">
      <c r="C117" s="15"/>
      <c r="D117" s="16"/>
    </row>
    <row r="118" spans="3:4" x14ac:dyDescent="0.35">
      <c r="C118" s="15"/>
      <c r="D118" s="16"/>
    </row>
    <row r="119" spans="3:4" x14ac:dyDescent="0.35">
      <c r="C119" s="15"/>
      <c r="D119" s="16"/>
    </row>
    <row r="120" spans="3:4" x14ac:dyDescent="0.35">
      <c r="C120" s="15"/>
      <c r="D120" s="16"/>
    </row>
    <row r="121" spans="3:4" x14ac:dyDescent="0.35">
      <c r="C121" s="15"/>
      <c r="D121" s="16"/>
    </row>
    <row r="122" spans="3:4" x14ac:dyDescent="0.35">
      <c r="C122" s="15"/>
      <c r="D122" s="16"/>
    </row>
    <row r="123" spans="3:4" x14ac:dyDescent="0.35">
      <c r="C123" s="15"/>
      <c r="D123" s="16"/>
    </row>
    <row r="124" spans="3:4" x14ac:dyDescent="0.35">
      <c r="C124" s="15"/>
      <c r="D124" s="16"/>
    </row>
    <row r="125" spans="3:4" x14ac:dyDescent="0.35">
      <c r="C125" s="15"/>
      <c r="D125" s="16"/>
    </row>
    <row r="126" spans="3:4" x14ac:dyDescent="0.35">
      <c r="C126" s="15"/>
      <c r="D126" s="16"/>
    </row>
    <row r="127" spans="3:4" x14ac:dyDescent="0.35">
      <c r="C127" s="15"/>
      <c r="D127" s="16"/>
    </row>
    <row r="128" spans="3:4" x14ac:dyDescent="0.35">
      <c r="C128" s="15"/>
      <c r="D128" s="16"/>
    </row>
    <row r="129" spans="3:4" x14ac:dyDescent="0.35">
      <c r="C129" s="15"/>
      <c r="D129" s="16"/>
    </row>
    <row r="130" spans="3:4" x14ac:dyDescent="0.35">
      <c r="C130" s="15"/>
      <c r="D130" s="16"/>
    </row>
    <row r="131" spans="3:4" x14ac:dyDescent="0.35">
      <c r="C131" s="15"/>
      <c r="D131" s="16"/>
    </row>
    <row r="132" spans="3:4" x14ac:dyDescent="0.35">
      <c r="C132" s="15"/>
      <c r="D132" s="16"/>
    </row>
    <row r="133" spans="3:4" x14ac:dyDescent="0.35">
      <c r="C133" s="15"/>
      <c r="D133" s="16"/>
    </row>
    <row r="134" spans="3:4" x14ac:dyDescent="0.35">
      <c r="C134" s="15"/>
      <c r="D134" s="16"/>
    </row>
    <row r="135" spans="3:4" x14ac:dyDescent="0.35">
      <c r="C135" s="15"/>
      <c r="D135" s="16"/>
    </row>
    <row r="136" spans="3:4" x14ac:dyDescent="0.35">
      <c r="C136" s="15"/>
      <c r="D136" s="16"/>
    </row>
    <row r="137" spans="3:4" x14ac:dyDescent="0.35">
      <c r="C137" s="15"/>
      <c r="D137" s="16"/>
    </row>
    <row r="138" spans="3:4" x14ac:dyDescent="0.35">
      <c r="C138" s="15"/>
      <c r="D138" s="16"/>
    </row>
    <row r="139" spans="3:4" x14ac:dyDescent="0.35">
      <c r="C139" s="15"/>
      <c r="D139" s="16"/>
    </row>
    <row r="140" spans="3:4" x14ac:dyDescent="0.35">
      <c r="C140" s="15"/>
      <c r="D140" s="16"/>
    </row>
    <row r="141" spans="3:4" x14ac:dyDescent="0.35">
      <c r="C141" s="15"/>
      <c r="D141" s="16"/>
    </row>
    <row r="142" spans="3:4" x14ac:dyDescent="0.35">
      <c r="C142" s="15"/>
      <c r="D142" s="16"/>
    </row>
    <row r="143" spans="3:4" x14ac:dyDescent="0.35">
      <c r="C143" s="15"/>
      <c r="D143" s="16"/>
    </row>
    <row r="144" spans="3:4" x14ac:dyDescent="0.35">
      <c r="C144" s="15"/>
      <c r="D144" s="16"/>
    </row>
    <row r="145" spans="3:4" x14ac:dyDescent="0.35">
      <c r="C145" s="15"/>
      <c r="D145" s="16"/>
    </row>
    <row r="146" spans="3:4" x14ac:dyDescent="0.35">
      <c r="C146" s="15"/>
      <c r="D146" s="16"/>
    </row>
    <row r="147" spans="3:4" x14ac:dyDescent="0.35">
      <c r="C147" s="15"/>
      <c r="D147" s="16"/>
    </row>
    <row r="148" spans="3:4" x14ac:dyDescent="0.35">
      <c r="C148" s="15"/>
      <c r="D148" s="16"/>
    </row>
    <row r="149" spans="3:4" x14ac:dyDescent="0.35">
      <c r="C149" s="15"/>
      <c r="D149" s="16"/>
    </row>
    <row r="150" spans="3:4" x14ac:dyDescent="0.35">
      <c r="C150" s="15"/>
      <c r="D150" s="16"/>
    </row>
    <row r="151" spans="3:4" x14ac:dyDescent="0.35">
      <c r="C151" s="15"/>
      <c r="D151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3D6A-7923-4E64-856A-4101FCB2B30F}">
  <dimension ref="A1:J151"/>
  <sheetViews>
    <sheetView topLeftCell="A45" workbookViewId="0">
      <selection activeCell="B2" sqref="B2:E71"/>
    </sheetView>
  </sheetViews>
  <sheetFormatPr defaultRowHeight="14.5" x14ac:dyDescent="0.35"/>
  <cols>
    <col min="2" max="2" width="28.1796875" customWidth="1"/>
    <col min="3" max="3" width="28.1796875" style="13" customWidth="1"/>
    <col min="4" max="5" width="28.1796875" customWidth="1"/>
  </cols>
  <sheetData>
    <row r="1" spans="1:10" ht="18.5" x14ac:dyDescent="0.35">
      <c r="A1" s="8" t="s">
        <v>20</v>
      </c>
      <c r="B1" s="7" t="s">
        <v>4</v>
      </c>
      <c r="C1" s="7" t="str">
        <f>REF_U238!B1</f>
        <v>Yield</v>
      </c>
      <c r="D1" s="7" t="str">
        <f>REF_U238!C1</f>
        <v>Energy</v>
      </c>
      <c r="E1" s="7" t="s">
        <v>4</v>
      </c>
    </row>
    <row r="2" spans="1:10" ht="18.5" x14ac:dyDescent="0.35">
      <c r="A2" s="1"/>
      <c r="B2" s="5">
        <v>1</v>
      </c>
      <c r="C2" s="14" cm="1">
        <f t="array" ref="C2:C71">(target_total_fg_u235/Y_fg_U238)*fg_yield_ref</f>
        <v>5.2722950284420536E-12</v>
      </c>
      <c r="D2" s="14">
        <v>1.4800000000000001E-2</v>
      </c>
      <c r="E2" s="6" t="s">
        <v>0</v>
      </c>
    </row>
    <row r="3" spans="1:10" ht="18.5" x14ac:dyDescent="0.35">
      <c r="A3" s="1"/>
      <c r="B3" s="5">
        <v>1</v>
      </c>
      <c r="C3" s="14">
        <v>9.8213352081724894E-12</v>
      </c>
      <c r="D3" s="14">
        <v>0.03</v>
      </c>
      <c r="E3" s="6" t="s">
        <v>1</v>
      </c>
    </row>
    <row r="4" spans="1:10" ht="18.5" x14ac:dyDescent="0.35">
      <c r="A4" s="1"/>
      <c r="B4" s="5">
        <v>1</v>
      </c>
      <c r="C4" s="14">
        <v>1.3751342566929182E-11</v>
      </c>
      <c r="D4" s="14">
        <v>3.1399999999999997E-2</v>
      </c>
      <c r="E4" s="6" t="s">
        <v>0</v>
      </c>
    </row>
    <row r="5" spans="1:10" ht="18.5" x14ac:dyDescent="0.35">
      <c r="A5" s="1"/>
      <c r="B5" s="5">
        <v>1</v>
      </c>
      <c r="C5" s="14">
        <v>3.9862386587845036E-13</v>
      </c>
      <c r="D5" s="14">
        <v>4.53E-2</v>
      </c>
      <c r="E5" s="6" t="s">
        <v>0</v>
      </c>
    </row>
    <row r="6" spans="1:10" ht="18.5" x14ac:dyDescent="0.35">
      <c r="A6" s="1"/>
      <c r="B6" s="5">
        <v>1</v>
      </c>
      <c r="C6" s="14">
        <v>9.8213352081724894E-12</v>
      </c>
      <c r="D6" s="14">
        <v>0.05</v>
      </c>
      <c r="E6" s="6" t="s">
        <v>1</v>
      </c>
    </row>
    <row r="7" spans="1:10" ht="18.5" x14ac:dyDescent="0.35">
      <c r="A7" s="1"/>
      <c r="B7" s="5">
        <v>1</v>
      </c>
      <c r="C7" s="14">
        <v>5.6787185124565064E-13</v>
      </c>
      <c r="D7" s="14">
        <v>5.5300000000000002E-2</v>
      </c>
      <c r="E7" s="6" t="s">
        <v>0</v>
      </c>
    </row>
    <row r="8" spans="1:10" ht="18.5" x14ac:dyDescent="0.35">
      <c r="A8" s="1"/>
      <c r="B8" s="5">
        <v>1</v>
      </c>
      <c r="C8" s="14">
        <v>9.8213352081724894E-12</v>
      </c>
      <c r="D8" s="14">
        <v>7.0000000000000007E-2</v>
      </c>
      <c r="E8" s="6" t="s">
        <v>1</v>
      </c>
    </row>
    <row r="9" spans="1:10" ht="18.5" x14ac:dyDescent="0.35">
      <c r="A9" s="1"/>
      <c r="B9" s="5">
        <v>1</v>
      </c>
      <c r="C9" s="14">
        <v>1.1580112458790861E-12</v>
      </c>
      <c r="D9" s="14">
        <v>7.5300000000000006E-2</v>
      </c>
      <c r="E9" s="6" t="s">
        <v>0</v>
      </c>
    </row>
    <row r="10" spans="1:10" ht="18.5" x14ac:dyDescent="0.35">
      <c r="A10" s="1"/>
      <c r="B10" s="5">
        <v>1</v>
      </c>
      <c r="C10" s="14">
        <v>1.6423679177990238E-12</v>
      </c>
      <c r="D10" s="14">
        <v>8.5300000000000001E-2</v>
      </c>
      <c r="E10" s="6" t="s">
        <v>0</v>
      </c>
    </row>
    <row r="11" spans="1:10" ht="18.5" x14ac:dyDescent="0.35">
      <c r="A11" s="1"/>
      <c r="B11" s="5">
        <v>1</v>
      </c>
      <c r="C11" s="14">
        <v>9.8213352081724894E-12</v>
      </c>
      <c r="D11" s="14">
        <v>0.09</v>
      </c>
      <c r="E11" s="6" t="s">
        <v>1</v>
      </c>
    </row>
    <row r="12" spans="1:10" ht="18.5" x14ac:dyDescent="0.35">
      <c r="A12" s="1"/>
      <c r="B12" s="5">
        <v>1</v>
      </c>
      <c r="C12" s="14">
        <v>2.3438578851784316E-12</v>
      </c>
      <c r="D12" s="14">
        <v>9.5299999999999996E-2</v>
      </c>
      <c r="E12" s="6" t="s">
        <v>0</v>
      </c>
    </row>
    <row r="13" spans="1:10" ht="18.5" x14ac:dyDescent="0.35">
      <c r="A13" s="1"/>
      <c r="B13" s="5">
        <v>1</v>
      </c>
      <c r="C13" s="14">
        <v>9.8213352081724894E-12</v>
      </c>
      <c r="D13" s="14">
        <v>0.11</v>
      </c>
      <c r="E13" s="6" t="s">
        <v>1</v>
      </c>
    </row>
    <row r="14" spans="1:10" ht="18.5" x14ac:dyDescent="0.35">
      <c r="A14" s="1"/>
      <c r="B14" s="5">
        <v>1</v>
      </c>
      <c r="C14" s="14">
        <v>7.7943086876912235E-12</v>
      </c>
      <c r="D14" s="14">
        <v>0.11</v>
      </c>
      <c r="E14" s="6" t="s">
        <v>0</v>
      </c>
    </row>
    <row r="15" spans="1:10" ht="18.5" x14ac:dyDescent="0.35">
      <c r="A15" s="1"/>
      <c r="B15" s="5">
        <v>1</v>
      </c>
      <c r="C15" s="14">
        <v>9.8213352081724894E-12</v>
      </c>
      <c r="D15" s="14">
        <v>0.13</v>
      </c>
      <c r="E15" s="6" t="s">
        <v>1</v>
      </c>
      <c r="J15">
        <f>480+70</f>
        <v>550</v>
      </c>
    </row>
    <row r="16" spans="1:10" ht="18.5" x14ac:dyDescent="0.35">
      <c r="A16" s="1"/>
      <c r="B16" s="5">
        <v>1</v>
      </c>
      <c r="C16" s="14">
        <v>7.7943086876912235E-12</v>
      </c>
      <c r="D16" s="14">
        <v>0.13</v>
      </c>
      <c r="E16" s="6" t="s">
        <v>0</v>
      </c>
    </row>
    <row r="17" spans="1:5" ht="18.5" x14ac:dyDescent="0.35">
      <c r="A17" s="1"/>
      <c r="B17" s="5">
        <v>1</v>
      </c>
      <c r="C17" s="14">
        <v>9.8213352081724894E-12</v>
      </c>
      <c r="D17" s="14">
        <v>0.15</v>
      </c>
      <c r="E17" s="6" t="s">
        <v>1</v>
      </c>
    </row>
    <row r="18" spans="1:5" ht="18.5" x14ac:dyDescent="0.35">
      <c r="A18" s="1"/>
      <c r="B18" s="5">
        <v>1</v>
      </c>
      <c r="C18" s="14">
        <v>7.7943086876912235E-12</v>
      </c>
      <c r="D18" s="14">
        <v>0.15</v>
      </c>
      <c r="E18" s="6" t="s">
        <v>0</v>
      </c>
    </row>
    <row r="19" spans="1:5" ht="18.5" x14ac:dyDescent="0.35">
      <c r="A19" s="1"/>
      <c r="B19" s="5">
        <v>1</v>
      </c>
      <c r="C19" s="14">
        <v>9.8213352081724894E-12</v>
      </c>
      <c r="D19" s="14">
        <v>0.17</v>
      </c>
      <c r="E19" s="6" t="s">
        <v>1</v>
      </c>
    </row>
    <row r="20" spans="1:5" ht="18.5" x14ac:dyDescent="0.35">
      <c r="A20" s="1"/>
      <c r="B20" s="5">
        <v>1</v>
      </c>
      <c r="C20" s="14">
        <v>7.7943086876912235E-12</v>
      </c>
      <c r="D20" s="14">
        <v>0.17</v>
      </c>
      <c r="E20" s="6" t="s">
        <v>0</v>
      </c>
    </row>
    <row r="21" spans="1:5" ht="18.5" x14ac:dyDescent="0.35">
      <c r="A21" s="1"/>
      <c r="B21" s="5">
        <v>1</v>
      </c>
      <c r="C21" s="14">
        <v>9.8213352081724894E-12</v>
      </c>
      <c r="D21" s="14">
        <v>0.19</v>
      </c>
      <c r="E21" s="6" t="s">
        <v>1</v>
      </c>
    </row>
    <row r="22" spans="1:5" ht="18.5" x14ac:dyDescent="0.35">
      <c r="A22" s="1"/>
      <c r="B22" s="5">
        <v>1</v>
      </c>
      <c r="C22" s="14">
        <v>7.7943086876912235E-12</v>
      </c>
      <c r="D22" s="14">
        <v>0.19</v>
      </c>
      <c r="E22" s="6" t="s">
        <v>0</v>
      </c>
    </row>
    <row r="23" spans="1:5" ht="18.5" x14ac:dyDescent="0.35">
      <c r="A23" s="1"/>
      <c r="B23" s="5">
        <v>1</v>
      </c>
      <c r="C23" s="14">
        <v>2.4106952260208163E-11</v>
      </c>
      <c r="D23" s="14">
        <v>0.22500000000000001</v>
      </c>
      <c r="E23" s="6" t="s">
        <v>1</v>
      </c>
    </row>
    <row r="24" spans="1:5" ht="18.5" x14ac:dyDescent="0.35">
      <c r="A24" s="1"/>
      <c r="B24" s="5">
        <v>1</v>
      </c>
      <c r="C24" s="14">
        <v>1.9541469503263376E-11</v>
      </c>
      <c r="D24" s="14">
        <v>0.22500000000000001</v>
      </c>
      <c r="E24" s="6" t="s">
        <v>0</v>
      </c>
    </row>
    <row r="25" spans="1:5" ht="18.5" x14ac:dyDescent="0.35">
      <c r="A25" s="1"/>
      <c r="B25" s="5">
        <v>1</v>
      </c>
      <c r="C25" s="14">
        <v>2.4106952260208163E-11</v>
      </c>
      <c r="D25" s="14">
        <v>0.27500000000000002</v>
      </c>
      <c r="E25" s="6" t="s">
        <v>1</v>
      </c>
    </row>
    <row r="26" spans="1:5" ht="18.5" x14ac:dyDescent="0.35">
      <c r="A26" s="1"/>
      <c r="B26" s="5">
        <v>1</v>
      </c>
      <c r="C26" s="14">
        <v>1.9541469503263376E-11</v>
      </c>
      <c r="D26" s="14">
        <v>0.27500000000000002</v>
      </c>
      <c r="E26" s="6" t="s">
        <v>0</v>
      </c>
    </row>
    <row r="27" spans="1:5" ht="18.5" x14ac:dyDescent="0.35">
      <c r="A27" s="1"/>
      <c r="B27" s="5">
        <v>1</v>
      </c>
      <c r="C27" s="14">
        <v>2.4106952260208163E-11</v>
      </c>
      <c r="D27" s="14">
        <v>0.32500000000000001</v>
      </c>
      <c r="E27" s="6" t="s">
        <v>1</v>
      </c>
    </row>
    <row r="28" spans="1:5" ht="18.5" x14ac:dyDescent="0.35">
      <c r="A28" s="1"/>
      <c r="B28" s="5">
        <v>1</v>
      </c>
      <c r="C28" s="14">
        <v>1.9541469503263376E-11</v>
      </c>
      <c r="D28" s="14">
        <v>0.32500000000000001</v>
      </c>
      <c r="E28" s="6" t="s">
        <v>0</v>
      </c>
    </row>
    <row r="29" spans="1:5" ht="18.5" x14ac:dyDescent="0.35">
      <c r="A29" s="1"/>
      <c r="B29" s="5">
        <v>1</v>
      </c>
      <c r="C29" s="14">
        <v>2.4106952260208163E-11</v>
      </c>
      <c r="D29" s="14">
        <v>0.375</v>
      </c>
      <c r="E29" s="6" t="s">
        <v>1</v>
      </c>
    </row>
    <row r="30" spans="1:5" ht="18.5" x14ac:dyDescent="0.35">
      <c r="A30" s="1"/>
      <c r="B30" s="5">
        <v>1</v>
      </c>
      <c r="C30" s="14">
        <v>1.9541469503263376E-11</v>
      </c>
      <c r="D30" s="14">
        <v>0.375</v>
      </c>
      <c r="E30" s="6" t="s">
        <v>0</v>
      </c>
    </row>
    <row r="31" spans="1:5" ht="18.5" x14ac:dyDescent="0.35">
      <c r="A31" s="1"/>
      <c r="B31" s="5">
        <v>1</v>
      </c>
      <c r="C31" s="14">
        <v>1.9541469503263376E-11</v>
      </c>
      <c r="D31" s="14">
        <v>0.42499999999999999</v>
      </c>
      <c r="E31" s="6" t="s">
        <v>0</v>
      </c>
    </row>
    <row r="32" spans="1:5" ht="18.5" x14ac:dyDescent="0.35">
      <c r="A32" s="1"/>
      <c r="B32" s="5">
        <v>1</v>
      </c>
      <c r="C32" s="14">
        <v>6.7856549225147205E-11</v>
      </c>
      <c r="D32" s="14">
        <v>0.44</v>
      </c>
      <c r="E32" s="6" t="s">
        <v>1</v>
      </c>
    </row>
    <row r="33" spans="1:5" ht="18.5" x14ac:dyDescent="0.35">
      <c r="A33" s="1"/>
      <c r="B33" s="5">
        <v>1</v>
      </c>
      <c r="C33" s="14">
        <v>1.9541469503263376E-11</v>
      </c>
      <c r="D33" s="14">
        <v>0.47499999999999998</v>
      </c>
      <c r="E33" s="6" t="s">
        <v>0</v>
      </c>
    </row>
    <row r="34" spans="1:5" ht="18.5" x14ac:dyDescent="0.35">
      <c r="A34" s="1"/>
      <c r="B34" s="5">
        <v>1</v>
      </c>
      <c r="C34" s="14">
        <v>1.9541469503263376E-11</v>
      </c>
      <c r="D34" s="14">
        <v>0.52500000000000002</v>
      </c>
      <c r="E34" s="6" t="s">
        <v>0</v>
      </c>
    </row>
    <row r="35" spans="1:5" ht="18.5" x14ac:dyDescent="0.35">
      <c r="A35" s="1"/>
      <c r="B35" s="5">
        <v>1</v>
      </c>
      <c r="C35" s="14">
        <v>5.2678083517823126E-11</v>
      </c>
      <c r="D35" s="14">
        <v>0.54</v>
      </c>
      <c r="E35" s="6" t="s">
        <v>1</v>
      </c>
    </row>
    <row r="36" spans="1:5" ht="18.5" x14ac:dyDescent="0.35">
      <c r="A36" s="1"/>
      <c r="B36" s="5">
        <v>1</v>
      </c>
      <c r="C36" s="14">
        <v>1.9541469503263376E-11</v>
      </c>
      <c r="D36" s="14">
        <v>0.57499999999999996</v>
      </c>
      <c r="E36" s="6" t="s">
        <v>0</v>
      </c>
    </row>
    <row r="37" spans="1:5" ht="18.5" x14ac:dyDescent="0.35">
      <c r="A37" s="1"/>
      <c r="B37" s="5">
        <v>1</v>
      </c>
      <c r="C37" s="14">
        <v>4.1071089566494968E-11</v>
      </c>
      <c r="D37" s="14">
        <v>0.64</v>
      </c>
      <c r="E37" s="6" t="s">
        <v>1</v>
      </c>
    </row>
    <row r="38" spans="1:5" ht="18.5" x14ac:dyDescent="0.35">
      <c r="A38" s="1"/>
      <c r="B38" s="5">
        <v>1</v>
      </c>
      <c r="C38" s="14">
        <v>3.7635375132925589E-11</v>
      </c>
      <c r="D38" s="14">
        <v>0.64900000000000002</v>
      </c>
      <c r="E38" s="6" t="s">
        <v>0</v>
      </c>
    </row>
    <row r="39" spans="1:5" ht="18.5" x14ac:dyDescent="0.35">
      <c r="A39" s="1"/>
      <c r="B39" s="5">
        <v>1</v>
      </c>
      <c r="C39" s="14">
        <v>3.2142603013610884E-11</v>
      </c>
      <c r="D39" s="14">
        <v>0.74</v>
      </c>
      <c r="E39" s="6" t="s">
        <v>1</v>
      </c>
    </row>
    <row r="40" spans="1:5" ht="18.5" x14ac:dyDescent="0.35">
      <c r="A40" s="1"/>
      <c r="B40" s="5">
        <v>1</v>
      </c>
      <c r="C40" s="14">
        <v>3.1455588684967489E-11</v>
      </c>
      <c r="D40" s="14">
        <v>0.749</v>
      </c>
      <c r="E40" s="6" t="s">
        <v>0</v>
      </c>
    </row>
    <row r="41" spans="1:5" ht="18.5" x14ac:dyDescent="0.35">
      <c r="A41" s="1"/>
      <c r="B41" s="5">
        <v>1</v>
      </c>
      <c r="C41" s="14">
        <v>2.4999788059689526E-11</v>
      </c>
      <c r="D41" s="14">
        <v>0.84</v>
      </c>
      <c r="E41" s="6" t="s">
        <v>1</v>
      </c>
    </row>
    <row r="42" spans="1:5" ht="18.5" x14ac:dyDescent="0.35">
      <c r="A42" s="1"/>
      <c r="B42" s="5">
        <v>1</v>
      </c>
      <c r="C42" s="14">
        <v>2.6389372243504354E-11</v>
      </c>
      <c r="D42" s="14">
        <v>0.84899999999999998</v>
      </c>
      <c r="E42" s="6" t="s">
        <v>0</v>
      </c>
    </row>
    <row r="43" spans="1:5" ht="18.5" x14ac:dyDescent="0.35">
      <c r="A43" s="1"/>
      <c r="B43" s="5">
        <v>1</v>
      </c>
      <c r="C43" s="14">
        <v>2.2046809180771331E-11</v>
      </c>
      <c r="D43" s="14">
        <v>0.94899999999999995</v>
      </c>
      <c r="E43" s="6" t="s">
        <v>0</v>
      </c>
    </row>
    <row r="44" spans="1:5" ht="18.5" x14ac:dyDescent="0.35">
      <c r="A44" s="1"/>
      <c r="B44" s="5">
        <v>1</v>
      </c>
      <c r="C44" s="14">
        <v>1.8483693699356589E-11</v>
      </c>
      <c r="D44" s="14">
        <v>1.0489999999999999</v>
      </c>
      <c r="E44" s="6" t="s">
        <v>0</v>
      </c>
    </row>
    <row r="45" spans="1:5" ht="18.5" x14ac:dyDescent="0.35">
      <c r="A45" s="1"/>
      <c r="B45" s="5">
        <v>1</v>
      </c>
      <c r="C45" s="14">
        <v>1.0535616703564625E-10</v>
      </c>
      <c r="D45" s="14">
        <v>1.1000000000000001</v>
      </c>
      <c r="E45" s="6" t="s">
        <v>1</v>
      </c>
    </row>
    <row r="46" spans="1:5" ht="18.5" x14ac:dyDescent="0.35">
      <c r="A46" s="1"/>
      <c r="B46" s="5">
        <v>1</v>
      </c>
      <c r="C46" s="14">
        <v>1.5421569018601151E-11</v>
      </c>
      <c r="D46" s="14">
        <v>1.149</v>
      </c>
      <c r="E46" s="6" t="s">
        <v>0</v>
      </c>
    </row>
    <row r="47" spans="1:5" ht="18.5" x14ac:dyDescent="0.35">
      <c r="A47" s="1"/>
      <c r="B47" s="5">
        <v>1</v>
      </c>
      <c r="C47" s="14">
        <v>1.2916229341093197E-11</v>
      </c>
      <c r="D47" s="14">
        <v>1.25</v>
      </c>
      <c r="E47" s="6" t="s">
        <v>0</v>
      </c>
    </row>
    <row r="48" spans="1:5" ht="18.5" x14ac:dyDescent="0.35">
      <c r="A48" s="1"/>
      <c r="B48" s="5">
        <v>1</v>
      </c>
      <c r="C48" s="14">
        <v>1.0800690589086672E-11</v>
      </c>
      <c r="D48" s="14">
        <v>1.35</v>
      </c>
      <c r="E48" s="6" t="s">
        <v>0</v>
      </c>
    </row>
    <row r="49" spans="1:5" ht="18.5" x14ac:dyDescent="0.35">
      <c r="A49" s="1"/>
      <c r="B49" s="5">
        <v>1</v>
      </c>
      <c r="C49" s="14">
        <v>9.0191328483793013E-12</v>
      </c>
      <c r="D49" s="14">
        <v>1.45</v>
      </c>
      <c r="E49" s="6" t="s">
        <v>0</v>
      </c>
    </row>
    <row r="50" spans="1:5" ht="18.5" x14ac:dyDescent="0.35">
      <c r="A50" s="1"/>
      <c r="B50" s="5">
        <v>1</v>
      </c>
      <c r="C50" s="14">
        <v>6.4285077469151291E-11</v>
      </c>
      <c r="D50" s="14">
        <v>1.56</v>
      </c>
      <c r="E50" s="6" t="s">
        <v>1</v>
      </c>
    </row>
    <row r="51" spans="1:5" ht="18.5" x14ac:dyDescent="0.35">
      <c r="A51" s="1"/>
      <c r="B51" s="5">
        <v>1</v>
      </c>
      <c r="C51" s="14">
        <v>3.2012373688214969E-11</v>
      </c>
      <c r="D51" s="14">
        <v>1.73</v>
      </c>
      <c r="E51" s="6" t="s">
        <v>0</v>
      </c>
    </row>
    <row r="52" spans="1:5" ht="18.5" x14ac:dyDescent="0.35">
      <c r="A52" s="1"/>
      <c r="B52" s="5">
        <v>1</v>
      </c>
      <c r="C52" s="14">
        <v>3.3928274612573603E-11</v>
      </c>
      <c r="D52" s="14">
        <v>2</v>
      </c>
      <c r="E52" s="6" t="s">
        <v>1</v>
      </c>
    </row>
    <row r="53" spans="1:5" ht="18.5" x14ac:dyDescent="0.35">
      <c r="A53" s="1"/>
      <c r="B53" s="5">
        <v>1</v>
      </c>
      <c r="C53" s="14">
        <v>1.859502498839199E-11</v>
      </c>
      <c r="D53" s="14">
        <v>2.23</v>
      </c>
      <c r="E53" s="6" t="s">
        <v>0</v>
      </c>
    </row>
    <row r="54" spans="1:5" ht="18.5" x14ac:dyDescent="0.35">
      <c r="A54" s="1"/>
      <c r="B54" s="5">
        <v>1</v>
      </c>
      <c r="C54" s="14">
        <v>2.4999788059689526E-11</v>
      </c>
      <c r="D54" s="14">
        <v>2.4</v>
      </c>
      <c r="E54" s="6" t="s">
        <v>1</v>
      </c>
    </row>
    <row r="55" spans="1:5" ht="18.5" x14ac:dyDescent="0.35">
      <c r="A55" s="1"/>
      <c r="B55" s="5">
        <v>1</v>
      </c>
      <c r="C55" s="14">
        <v>1.0745012088761924E-11</v>
      </c>
      <c r="D55" s="14">
        <v>2.73</v>
      </c>
      <c r="E55" s="6" t="s">
        <v>0</v>
      </c>
    </row>
    <row r="56" spans="1:5" ht="18.5" x14ac:dyDescent="0.35">
      <c r="A56" s="1"/>
      <c r="B56" s="5">
        <v>1</v>
      </c>
      <c r="C56" s="14">
        <v>1.4285629907842721E-11</v>
      </c>
      <c r="D56" s="14">
        <v>2.8</v>
      </c>
      <c r="E56" s="6" t="s">
        <v>1</v>
      </c>
    </row>
    <row r="57" spans="1:5" ht="18.5" x14ac:dyDescent="0.35">
      <c r="A57" s="1"/>
      <c r="B57" s="5">
        <v>1</v>
      </c>
      <c r="C57" s="14">
        <v>6.2354520924757972E-12</v>
      </c>
      <c r="D57" s="14">
        <v>3.23</v>
      </c>
      <c r="E57" s="6" t="s">
        <v>0</v>
      </c>
    </row>
    <row r="58" spans="1:5" ht="18.5" x14ac:dyDescent="0.35">
      <c r="A58" s="1"/>
      <c r="B58" s="5">
        <v>1</v>
      </c>
      <c r="C58" s="14">
        <v>1.0714183863460897E-11</v>
      </c>
      <c r="D58" s="14">
        <v>3.25</v>
      </c>
      <c r="E58" s="6" t="s">
        <v>1</v>
      </c>
    </row>
    <row r="59" spans="1:5" ht="18.5" x14ac:dyDescent="0.35">
      <c r="A59" s="1"/>
      <c r="B59" s="5">
        <v>1</v>
      </c>
      <c r="C59" s="14">
        <v>3.6187811259324413E-12</v>
      </c>
      <c r="D59" s="14">
        <v>3.73</v>
      </c>
      <c r="E59" s="6" t="s">
        <v>0</v>
      </c>
    </row>
    <row r="60" spans="1:5" ht="18.5" x14ac:dyDescent="0.35">
      <c r="A60" s="1"/>
      <c r="B60" s="5">
        <v>1</v>
      </c>
      <c r="C60" s="14">
        <v>7.6785035778031286E-12</v>
      </c>
      <c r="D60" s="14">
        <v>3.75</v>
      </c>
      <c r="E60" s="6" t="s">
        <v>1</v>
      </c>
    </row>
    <row r="61" spans="1:5" ht="18.5" x14ac:dyDescent="0.35">
      <c r="A61" s="1"/>
      <c r="B61" s="5">
        <v>1</v>
      </c>
      <c r="C61" s="14">
        <v>2.0988904818794063E-12</v>
      </c>
      <c r="D61" s="14">
        <v>4.2300000000000004</v>
      </c>
      <c r="E61" s="6" t="s">
        <v>0</v>
      </c>
    </row>
    <row r="62" spans="1:5" ht="18.5" x14ac:dyDescent="0.35">
      <c r="A62" s="1"/>
      <c r="B62" s="5">
        <v>1</v>
      </c>
      <c r="C62" s="14">
        <v>3.7499617810499042E-12</v>
      </c>
      <c r="D62" s="14">
        <v>4.25</v>
      </c>
      <c r="E62" s="6" t="s">
        <v>1</v>
      </c>
    </row>
    <row r="63" spans="1:5" ht="18.5" x14ac:dyDescent="0.35">
      <c r="A63" s="1"/>
      <c r="B63" s="5">
        <v>1</v>
      </c>
      <c r="C63" s="14">
        <v>1.2136858894617199E-12</v>
      </c>
      <c r="D63" s="14">
        <v>4.7300000000000004</v>
      </c>
      <c r="E63" s="6" t="s">
        <v>0</v>
      </c>
    </row>
    <row r="64" spans="1:5" ht="18.5" x14ac:dyDescent="0.35">
      <c r="A64" s="1"/>
      <c r="B64" s="5">
        <v>1</v>
      </c>
      <c r="C64" s="14">
        <v>1.7856973105768162E-12</v>
      </c>
      <c r="D64" s="14">
        <v>4.75</v>
      </c>
      <c r="E64" s="6" t="s">
        <v>1</v>
      </c>
    </row>
    <row r="65" spans="1:5" ht="18.5" x14ac:dyDescent="0.35">
      <c r="A65" s="1"/>
      <c r="B65" s="5">
        <v>1</v>
      </c>
      <c r="C65" s="14">
        <v>7.0705524625047339E-13</v>
      </c>
      <c r="D65" s="14">
        <v>5.23</v>
      </c>
      <c r="E65" s="6" t="s">
        <v>0</v>
      </c>
    </row>
    <row r="66" spans="1:5" ht="18.5" x14ac:dyDescent="0.35">
      <c r="A66" s="1"/>
      <c r="B66" s="5">
        <v>1</v>
      </c>
      <c r="C66" s="14">
        <v>8.4820686531434005E-13</v>
      </c>
      <c r="D66" s="14">
        <v>5.25</v>
      </c>
      <c r="E66" s="6" t="s">
        <v>1</v>
      </c>
    </row>
    <row r="67" spans="1:5" ht="18.5" x14ac:dyDescent="0.35">
      <c r="A67" s="1"/>
      <c r="B67" s="5">
        <v>1</v>
      </c>
      <c r="C67" s="14">
        <v>6.4581403821606948E-13</v>
      </c>
      <c r="D67" s="14">
        <v>5.91</v>
      </c>
      <c r="E67" s="6" t="s">
        <v>0</v>
      </c>
    </row>
    <row r="68" spans="1:5" ht="18.5" x14ac:dyDescent="0.35">
      <c r="A68" s="1"/>
      <c r="B68" s="5">
        <v>1</v>
      </c>
      <c r="C68" s="14">
        <v>2.171268675559465E-13</v>
      </c>
      <c r="D68" s="14">
        <v>6.91</v>
      </c>
      <c r="E68" s="6" t="s">
        <v>0</v>
      </c>
    </row>
    <row r="69" spans="1:5" ht="18.5" x14ac:dyDescent="0.35">
      <c r="A69" s="1"/>
      <c r="B69" s="5">
        <v>1</v>
      </c>
      <c r="C69" s="14">
        <v>7.2375751076719302E-14</v>
      </c>
      <c r="D69" s="14">
        <v>7.91</v>
      </c>
      <c r="E69" s="6" t="s">
        <v>0</v>
      </c>
    </row>
    <row r="70" spans="1:5" ht="18.5" x14ac:dyDescent="0.35">
      <c r="A70" s="1"/>
      <c r="B70" s="5">
        <v>1</v>
      </c>
      <c r="C70" s="14">
        <v>2.4496354655691106E-14</v>
      </c>
      <c r="D70" s="14">
        <v>8.91</v>
      </c>
      <c r="E70" s="6" t="s">
        <v>0</v>
      </c>
    </row>
    <row r="71" spans="1:5" ht="18.5" x14ac:dyDescent="0.35">
      <c r="A71" s="1"/>
      <c r="B71" s="5">
        <v>1</v>
      </c>
      <c r="C71" s="14">
        <v>8.3510422677105132E-15</v>
      </c>
      <c r="D71" s="14">
        <v>9.91</v>
      </c>
      <c r="E71" s="6" t="s">
        <v>0</v>
      </c>
    </row>
    <row r="72" spans="1:5" x14ac:dyDescent="0.35">
      <c r="C72" s="15"/>
      <c r="D72" s="16"/>
    </row>
    <row r="73" spans="1:5" x14ac:dyDescent="0.35">
      <c r="C73" s="15"/>
      <c r="D73" s="16"/>
    </row>
    <row r="74" spans="1:5" x14ac:dyDescent="0.35">
      <c r="C74" s="15"/>
      <c r="D74" s="16"/>
    </row>
    <row r="75" spans="1:5" x14ac:dyDescent="0.35">
      <c r="C75" s="15"/>
      <c r="D75" s="16"/>
    </row>
    <row r="76" spans="1:5" x14ac:dyDescent="0.35">
      <c r="C76" s="15"/>
      <c r="D76" s="16"/>
    </row>
    <row r="77" spans="1:5" x14ac:dyDescent="0.35">
      <c r="C77" s="15"/>
      <c r="D77" s="16"/>
    </row>
    <row r="78" spans="1:5" x14ac:dyDescent="0.35">
      <c r="C78" s="15"/>
      <c r="D78" s="16"/>
    </row>
    <row r="79" spans="1:5" x14ac:dyDescent="0.35">
      <c r="C79" s="15"/>
      <c r="D79" s="16"/>
    </row>
    <row r="80" spans="1:5" x14ac:dyDescent="0.35">
      <c r="C80" s="15"/>
      <c r="D80" s="16"/>
    </row>
    <row r="81" spans="3:4" x14ac:dyDescent="0.35">
      <c r="C81" s="15"/>
      <c r="D81" s="16"/>
    </row>
    <row r="82" spans="3:4" x14ac:dyDescent="0.35">
      <c r="C82" s="15"/>
      <c r="D82" s="16"/>
    </row>
    <row r="83" spans="3:4" x14ac:dyDescent="0.35">
      <c r="C83" s="15"/>
      <c r="D83" s="16"/>
    </row>
    <row r="84" spans="3:4" x14ac:dyDescent="0.35">
      <c r="C84" s="15"/>
      <c r="D84" s="16"/>
    </row>
    <row r="85" spans="3:4" x14ac:dyDescent="0.35">
      <c r="C85" s="15"/>
      <c r="D85" s="16"/>
    </row>
    <row r="86" spans="3:4" x14ac:dyDescent="0.35">
      <c r="C86" s="15"/>
      <c r="D86" s="16"/>
    </row>
    <row r="87" spans="3:4" x14ac:dyDescent="0.35">
      <c r="C87" s="15"/>
      <c r="D87" s="16"/>
    </row>
    <row r="88" spans="3:4" x14ac:dyDescent="0.35">
      <c r="C88" s="15"/>
      <c r="D88" s="16"/>
    </row>
    <row r="89" spans="3:4" x14ac:dyDescent="0.35">
      <c r="C89" s="15"/>
      <c r="D89" s="16"/>
    </row>
    <row r="90" spans="3:4" x14ac:dyDescent="0.35">
      <c r="C90" s="15"/>
      <c r="D90" s="16"/>
    </row>
    <row r="91" spans="3:4" x14ac:dyDescent="0.35">
      <c r="C91" s="15"/>
      <c r="D91" s="16"/>
    </row>
    <row r="92" spans="3:4" x14ac:dyDescent="0.35">
      <c r="C92" s="15"/>
      <c r="D92" s="16"/>
    </row>
    <row r="93" spans="3:4" x14ac:dyDescent="0.35">
      <c r="C93" s="15"/>
      <c r="D93" s="16"/>
    </row>
    <row r="94" spans="3:4" x14ac:dyDescent="0.35">
      <c r="C94" s="15"/>
      <c r="D94" s="16"/>
    </row>
    <row r="95" spans="3:4" x14ac:dyDescent="0.35">
      <c r="C95" s="15"/>
      <c r="D95" s="16"/>
    </row>
    <row r="96" spans="3:4" x14ac:dyDescent="0.35">
      <c r="C96" s="15"/>
      <c r="D96" s="16"/>
    </row>
    <row r="97" spans="3:4" x14ac:dyDescent="0.35">
      <c r="C97" s="15"/>
      <c r="D97" s="16"/>
    </row>
    <row r="98" spans="3:4" x14ac:dyDescent="0.35">
      <c r="C98" s="15"/>
      <c r="D98" s="16"/>
    </row>
    <row r="99" spans="3:4" x14ac:dyDescent="0.35">
      <c r="C99" s="15"/>
      <c r="D99" s="16"/>
    </row>
    <row r="100" spans="3:4" x14ac:dyDescent="0.35">
      <c r="C100" s="15"/>
      <c r="D100" s="16"/>
    </row>
    <row r="101" spans="3:4" x14ac:dyDescent="0.35">
      <c r="C101" s="15"/>
      <c r="D101" s="16"/>
    </row>
    <row r="102" spans="3:4" x14ac:dyDescent="0.35">
      <c r="C102" s="15"/>
      <c r="D102" s="16"/>
    </row>
    <row r="103" spans="3:4" x14ac:dyDescent="0.35">
      <c r="C103" s="15"/>
      <c r="D103" s="16"/>
    </row>
    <row r="104" spans="3:4" x14ac:dyDescent="0.35">
      <c r="C104" s="15"/>
      <c r="D104" s="16"/>
    </row>
    <row r="105" spans="3:4" x14ac:dyDescent="0.35">
      <c r="C105" s="15"/>
      <c r="D105" s="16"/>
    </row>
    <row r="106" spans="3:4" x14ac:dyDescent="0.35">
      <c r="C106" s="15"/>
      <c r="D106" s="16"/>
    </row>
    <row r="107" spans="3:4" x14ac:dyDescent="0.35">
      <c r="C107" s="15"/>
      <c r="D107" s="16"/>
    </row>
    <row r="108" spans="3:4" x14ac:dyDescent="0.35">
      <c r="C108" s="15"/>
      <c r="D108" s="16"/>
    </row>
    <row r="109" spans="3:4" x14ac:dyDescent="0.35">
      <c r="C109" s="15"/>
      <c r="D109" s="16"/>
    </row>
    <row r="110" spans="3:4" x14ac:dyDescent="0.35">
      <c r="C110" s="15"/>
      <c r="D110" s="16"/>
    </row>
    <row r="111" spans="3:4" x14ac:dyDescent="0.35">
      <c r="C111" s="15"/>
      <c r="D111" s="16"/>
    </row>
    <row r="112" spans="3:4" x14ac:dyDescent="0.35">
      <c r="C112" s="15"/>
      <c r="D112" s="16"/>
    </row>
    <row r="113" spans="3:4" x14ac:dyDescent="0.35">
      <c r="C113" s="15"/>
      <c r="D113" s="16"/>
    </row>
    <row r="114" spans="3:4" x14ac:dyDescent="0.35">
      <c r="C114" s="15"/>
      <c r="D114" s="16"/>
    </row>
    <row r="115" spans="3:4" x14ac:dyDescent="0.35">
      <c r="C115" s="15"/>
      <c r="D115" s="16"/>
    </row>
    <row r="116" spans="3:4" x14ac:dyDescent="0.35">
      <c r="C116" s="15"/>
      <c r="D116" s="16"/>
    </row>
    <row r="117" spans="3:4" x14ac:dyDescent="0.35">
      <c r="C117" s="15"/>
      <c r="D117" s="16"/>
    </row>
    <row r="118" spans="3:4" x14ac:dyDescent="0.35">
      <c r="C118" s="15"/>
      <c r="D118" s="16"/>
    </row>
    <row r="119" spans="3:4" x14ac:dyDescent="0.35">
      <c r="C119" s="15"/>
      <c r="D119" s="16"/>
    </row>
    <row r="120" spans="3:4" x14ac:dyDescent="0.35">
      <c r="C120" s="15"/>
      <c r="D120" s="16"/>
    </row>
    <row r="121" spans="3:4" x14ac:dyDescent="0.35">
      <c r="C121" s="15"/>
      <c r="D121" s="16"/>
    </row>
    <row r="122" spans="3:4" x14ac:dyDescent="0.35">
      <c r="C122" s="15"/>
      <c r="D122" s="16"/>
    </row>
    <row r="123" spans="3:4" x14ac:dyDescent="0.35">
      <c r="C123" s="15"/>
      <c r="D123" s="16"/>
    </row>
    <row r="124" spans="3:4" x14ac:dyDescent="0.35">
      <c r="C124" s="15"/>
      <c r="D124" s="16"/>
    </row>
    <row r="125" spans="3:4" x14ac:dyDescent="0.35">
      <c r="C125" s="15"/>
      <c r="D125" s="16"/>
    </row>
    <row r="126" spans="3:4" x14ac:dyDescent="0.35">
      <c r="C126" s="15"/>
      <c r="D126" s="16"/>
    </row>
    <row r="127" spans="3:4" x14ac:dyDescent="0.35">
      <c r="C127" s="15"/>
      <c r="D127" s="16"/>
    </row>
    <row r="128" spans="3:4" x14ac:dyDescent="0.35">
      <c r="C128" s="15"/>
      <c r="D128" s="16"/>
    </row>
    <row r="129" spans="3:4" x14ac:dyDescent="0.35">
      <c r="C129" s="15"/>
      <c r="D129" s="16"/>
    </row>
    <row r="130" spans="3:4" x14ac:dyDescent="0.35">
      <c r="C130" s="15"/>
      <c r="D130" s="16"/>
    </row>
    <row r="131" spans="3:4" x14ac:dyDescent="0.35">
      <c r="C131" s="15"/>
      <c r="D131" s="16"/>
    </row>
    <row r="132" spans="3:4" x14ac:dyDescent="0.35">
      <c r="C132" s="15"/>
      <c r="D132" s="16"/>
    </row>
    <row r="133" spans="3:4" x14ac:dyDescent="0.35">
      <c r="C133" s="15"/>
      <c r="D133" s="16"/>
    </row>
    <row r="134" spans="3:4" x14ac:dyDescent="0.35">
      <c r="C134" s="15"/>
      <c r="D134" s="16"/>
    </row>
    <row r="135" spans="3:4" x14ac:dyDescent="0.35">
      <c r="C135" s="15"/>
      <c r="D135" s="16"/>
    </row>
    <row r="136" spans="3:4" x14ac:dyDescent="0.35">
      <c r="C136" s="15"/>
      <c r="D136" s="16"/>
    </row>
    <row r="137" spans="3:4" x14ac:dyDescent="0.35">
      <c r="C137" s="15"/>
      <c r="D137" s="16"/>
    </row>
    <row r="138" spans="3:4" x14ac:dyDescent="0.35">
      <c r="C138" s="15"/>
      <c r="D138" s="16"/>
    </row>
    <row r="139" spans="3:4" x14ac:dyDescent="0.35">
      <c r="C139" s="15"/>
      <c r="D139" s="16"/>
    </row>
    <row r="140" spans="3:4" x14ac:dyDescent="0.35">
      <c r="C140" s="15"/>
      <c r="D140" s="16"/>
    </row>
    <row r="141" spans="3:4" x14ac:dyDescent="0.35">
      <c r="C141" s="15"/>
      <c r="D141" s="16"/>
    </row>
    <row r="142" spans="3:4" x14ac:dyDescent="0.35">
      <c r="C142" s="15"/>
      <c r="D142" s="16"/>
    </row>
    <row r="143" spans="3:4" x14ac:dyDescent="0.35">
      <c r="C143" s="15"/>
      <c r="D143" s="16"/>
    </row>
    <row r="144" spans="3:4" x14ac:dyDescent="0.35">
      <c r="C144" s="15"/>
      <c r="D144" s="16"/>
    </row>
    <row r="145" spans="3:4" x14ac:dyDescent="0.35">
      <c r="C145" s="15"/>
      <c r="D145" s="16"/>
    </row>
    <row r="146" spans="3:4" x14ac:dyDescent="0.35">
      <c r="C146" s="15"/>
      <c r="D146" s="16"/>
    </row>
    <row r="147" spans="3:4" x14ac:dyDescent="0.35">
      <c r="C147" s="15"/>
      <c r="D147" s="16"/>
    </row>
    <row r="148" spans="3:4" x14ac:dyDescent="0.35">
      <c r="C148" s="15"/>
      <c r="D148" s="16"/>
    </row>
    <row r="149" spans="3:4" x14ac:dyDescent="0.35">
      <c r="C149" s="15"/>
      <c r="D149" s="16"/>
    </row>
    <row r="150" spans="3:4" x14ac:dyDescent="0.35">
      <c r="C150" s="15"/>
      <c r="D150" s="16"/>
    </row>
    <row r="151" spans="3:4" x14ac:dyDescent="0.35">
      <c r="C151" s="15"/>
      <c r="D151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2FF4-4522-4059-814C-01CE453E7827}">
  <dimension ref="A1:E151"/>
  <sheetViews>
    <sheetView topLeftCell="A45" workbookViewId="0">
      <selection activeCell="B2" sqref="B2:E71"/>
    </sheetView>
  </sheetViews>
  <sheetFormatPr defaultRowHeight="14.5" x14ac:dyDescent="0.35"/>
  <cols>
    <col min="2" max="2" width="28.1796875" customWidth="1"/>
    <col min="3" max="3" width="28.1796875" style="13" customWidth="1"/>
    <col min="4" max="5" width="28.1796875" customWidth="1"/>
  </cols>
  <sheetData>
    <row r="1" spans="1:5" ht="18.5" x14ac:dyDescent="0.35">
      <c r="A1" s="8" t="s">
        <v>20</v>
      </c>
      <c r="B1" s="7" t="str">
        <f>REF_U238!A1</f>
        <v>Category</v>
      </c>
      <c r="C1" s="7" t="str">
        <f>REF_U238!B1</f>
        <v>Yield</v>
      </c>
      <c r="D1" s="7" t="str">
        <f>REF_U238!C1</f>
        <v>Energy</v>
      </c>
      <c r="E1" s="7" t="str">
        <f>REF_U238!D1</f>
        <v>Category</v>
      </c>
    </row>
    <row r="2" spans="1:5" ht="18.5" x14ac:dyDescent="0.35">
      <c r="A2" s="1"/>
      <c r="B2" s="5">
        <v>1</v>
      </c>
      <c r="C2" s="14" cm="1">
        <f t="array" ref="C2:C71">(target_total_fg_u236/Y_fg_U238)*fg_yield_ref</f>
        <v>6.5903687855525677E-11</v>
      </c>
      <c r="D2" s="14">
        <v>1.4800000000000001E-2</v>
      </c>
      <c r="E2" s="6" t="s">
        <v>0</v>
      </c>
    </row>
    <row r="3" spans="1:5" ht="18.5" x14ac:dyDescent="0.35">
      <c r="A3" s="1"/>
      <c r="B3" s="5">
        <v>1</v>
      </c>
      <c r="C3" s="14">
        <v>1.2276669010215613E-10</v>
      </c>
      <c r="D3" s="14">
        <v>0.03</v>
      </c>
      <c r="E3" s="6" t="s">
        <v>1</v>
      </c>
    </row>
    <row r="4" spans="1:5" ht="18.5" x14ac:dyDescent="0.35">
      <c r="A4" s="1"/>
      <c r="B4" s="5">
        <v>1</v>
      </c>
      <c r="C4" s="14">
        <v>1.718917820866148E-10</v>
      </c>
      <c r="D4" s="14">
        <v>3.1399999999999997E-2</v>
      </c>
      <c r="E4" s="6" t="s">
        <v>0</v>
      </c>
    </row>
    <row r="5" spans="1:5" ht="18.5" x14ac:dyDescent="0.35">
      <c r="A5" s="1"/>
      <c r="B5" s="5">
        <v>1</v>
      </c>
      <c r="C5" s="14">
        <v>4.9827983234806299E-12</v>
      </c>
      <c r="D5" s="14">
        <v>4.53E-2</v>
      </c>
      <c r="E5" s="6" t="s">
        <v>0</v>
      </c>
    </row>
    <row r="6" spans="1:5" ht="18.5" x14ac:dyDescent="0.35">
      <c r="A6" s="1"/>
      <c r="B6" s="5">
        <v>1</v>
      </c>
      <c r="C6" s="14">
        <v>1.2276669010215613E-10</v>
      </c>
      <c r="D6" s="14">
        <v>0.05</v>
      </c>
      <c r="E6" s="6" t="s">
        <v>1</v>
      </c>
    </row>
    <row r="7" spans="1:5" ht="18.5" x14ac:dyDescent="0.35">
      <c r="A7" s="1"/>
      <c r="B7" s="5">
        <v>1</v>
      </c>
      <c r="C7" s="14">
        <v>7.0983981405706332E-12</v>
      </c>
      <c r="D7" s="14">
        <v>5.5300000000000002E-2</v>
      </c>
      <c r="E7" s="6" t="s">
        <v>0</v>
      </c>
    </row>
    <row r="8" spans="1:5" ht="18.5" x14ac:dyDescent="0.35">
      <c r="A8" s="1"/>
      <c r="B8" s="5">
        <v>1</v>
      </c>
      <c r="C8" s="14">
        <v>1.2276669010215613E-10</v>
      </c>
      <c r="D8" s="14">
        <v>7.0000000000000007E-2</v>
      </c>
      <c r="E8" s="6" t="s">
        <v>1</v>
      </c>
    </row>
    <row r="9" spans="1:5" ht="18.5" x14ac:dyDescent="0.35">
      <c r="A9" s="1"/>
      <c r="B9" s="5">
        <v>1</v>
      </c>
      <c r="C9" s="14">
        <v>1.4475140573488579E-11</v>
      </c>
      <c r="D9" s="14">
        <v>7.5300000000000006E-2</v>
      </c>
      <c r="E9" s="6" t="s">
        <v>0</v>
      </c>
    </row>
    <row r="10" spans="1:5" ht="18.5" x14ac:dyDescent="0.35">
      <c r="A10" s="1"/>
      <c r="B10" s="5">
        <v>1</v>
      </c>
      <c r="C10" s="14">
        <v>2.0529598972487799E-11</v>
      </c>
      <c r="D10" s="14">
        <v>8.5300000000000001E-2</v>
      </c>
      <c r="E10" s="6" t="s">
        <v>0</v>
      </c>
    </row>
    <row r="11" spans="1:5" ht="18.5" x14ac:dyDescent="0.35">
      <c r="A11" s="1"/>
      <c r="B11" s="5">
        <v>1</v>
      </c>
      <c r="C11" s="14">
        <v>1.2276669010215613E-10</v>
      </c>
      <c r="D11" s="14">
        <v>0.09</v>
      </c>
      <c r="E11" s="6" t="s">
        <v>1</v>
      </c>
    </row>
    <row r="12" spans="1:5" ht="18.5" x14ac:dyDescent="0.35">
      <c r="A12" s="1"/>
      <c r="B12" s="5">
        <v>1</v>
      </c>
      <c r="C12" s="14">
        <v>2.9298223564730402E-11</v>
      </c>
      <c r="D12" s="14">
        <v>9.5299999999999996E-2</v>
      </c>
      <c r="E12" s="6" t="s">
        <v>0</v>
      </c>
    </row>
    <row r="13" spans="1:5" ht="18.5" x14ac:dyDescent="0.35">
      <c r="A13" s="1"/>
      <c r="B13" s="5">
        <v>1</v>
      </c>
      <c r="C13" s="14">
        <v>1.2276669010215613E-10</v>
      </c>
      <c r="D13" s="14">
        <v>0.11</v>
      </c>
      <c r="E13" s="6" t="s">
        <v>1</v>
      </c>
    </row>
    <row r="14" spans="1:5" ht="18.5" x14ac:dyDescent="0.35">
      <c r="A14" s="1"/>
      <c r="B14" s="5">
        <v>1</v>
      </c>
      <c r="C14" s="14">
        <v>9.7428858596140298E-11</v>
      </c>
      <c r="D14" s="14">
        <v>0.11</v>
      </c>
      <c r="E14" s="6" t="s">
        <v>0</v>
      </c>
    </row>
    <row r="15" spans="1:5" ht="18.5" x14ac:dyDescent="0.35">
      <c r="A15" s="1"/>
      <c r="B15" s="5">
        <v>1</v>
      </c>
      <c r="C15" s="14">
        <v>1.2276669010215613E-10</v>
      </c>
      <c r="D15" s="14">
        <v>0.13</v>
      </c>
      <c r="E15" s="6" t="s">
        <v>1</v>
      </c>
    </row>
    <row r="16" spans="1:5" ht="18.5" x14ac:dyDescent="0.35">
      <c r="A16" s="1"/>
      <c r="B16" s="5">
        <v>1</v>
      </c>
      <c r="C16" s="14">
        <v>9.7428858596140298E-11</v>
      </c>
      <c r="D16" s="14">
        <v>0.13</v>
      </c>
      <c r="E16" s="6" t="s">
        <v>0</v>
      </c>
    </row>
    <row r="17" spans="1:5" ht="18.5" x14ac:dyDescent="0.35">
      <c r="A17" s="1"/>
      <c r="B17" s="5">
        <v>1</v>
      </c>
      <c r="C17" s="14">
        <v>1.2276669010215613E-10</v>
      </c>
      <c r="D17" s="14">
        <v>0.15</v>
      </c>
      <c r="E17" s="6" t="s">
        <v>1</v>
      </c>
    </row>
    <row r="18" spans="1:5" ht="18.5" x14ac:dyDescent="0.35">
      <c r="A18" s="1"/>
      <c r="B18" s="5">
        <v>1</v>
      </c>
      <c r="C18" s="14">
        <v>9.7428858596140298E-11</v>
      </c>
      <c r="D18" s="14">
        <v>0.15</v>
      </c>
      <c r="E18" s="6" t="s">
        <v>0</v>
      </c>
    </row>
    <row r="19" spans="1:5" ht="18.5" x14ac:dyDescent="0.35">
      <c r="A19" s="1"/>
      <c r="B19" s="5">
        <v>1</v>
      </c>
      <c r="C19" s="14">
        <v>1.2276669010215613E-10</v>
      </c>
      <c r="D19" s="14">
        <v>0.17</v>
      </c>
      <c r="E19" s="6" t="s">
        <v>1</v>
      </c>
    </row>
    <row r="20" spans="1:5" ht="18.5" x14ac:dyDescent="0.35">
      <c r="A20" s="1"/>
      <c r="B20" s="5">
        <v>1</v>
      </c>
      <c r="C20" s="14">
        <v>9.7428858596140298E-11</v>
      </c>
      <c r="D20" s="14">
        <v>0.17</v>
      </c>
      <c r="E20" s="6" t="s">
        <v>0</v>
      </c>
    </row>
    <row r="21" spans="1:5" ht="18.5" x14ac:dyDescent="0.35">
      <c r="A21" s="1"/>
      <c r="B21" s="5">
        <v>1</v>
      </c>
      <c r="C21" s="14">
        <v>1.2276669010215613E-10</v>
      </c>
      <c r="D21" s="14">
        <v>0.19</v>
      </c>
      <c r="E21" s="6" t="s">
        <v>1</v>
      </c>
    </row>
    <row r="22" spans="1:5" ht="18.5" x14ac:dyDescent="0.35">
      <c r="A22" s="1"/>
      <c r="B22" s="5">
        <v>1</v>
      </c>
      <c r="C22" s="14">
        <v>9.7428858596140298E-11</v>
      </c>
      <c r="D22" s="14">
        <v>0.19</v>
      </c>
      <c r="E22" s="6" t="s">
        <v>0</v>
      </c>
    </row>
    <row r="23" spans="1:5" ht="18.5" x14ac:dyDescent="0.35">
      <c r="A23" s="1"/>
      <c r="B23" s="5">
        <v>1</v>
      </c>
      <c r="C23" s="14">
        <v>3.0133690325260208E-10</v>
      </c>
      <c r="D23" s="14">
        <v>0.22500000000000001</v>
      </c>
      <c r="E23" s="6" t="s">
        <v>1</v>
      </c>
    </row>
    <row r="24" spans="1:5" ht="18.5" x14ac:dyDescent="0.35">
      <c r="A24" s="1"/>
      <c r="B24" s="5">
        <v>1</v>
      </c>
      <c r="C24" s="14">
        <v>2.4426836879079223E-10</v>
      </c>
      <c r="D24" s="14">
        <v>0.22500000000000001</v>
      </c>
      <c r="E24" s="6" t="s">
        <v>0</v>
      </c>
    </row>
    <row r="25" spans="1:5" ht="18.5" x14ac:dyDescent="0.35">
      <c r="A25" s="1"/>
      <c r="B25" s="5">
        <v>1</v>
      </c>
      <c r="C25" s="14">
        <v>3.0133690325260208E-10</v>
      </c>
      <c r="D25" s="14">
        <v>0.27500000000000002</v>
      </c>
      <c r="E25" s="6" t="s">
        <v>1</v>
      </c>
    </row>
    <row r="26" spans="1:5" ht="18.5" x14ac:dyDescent="0.35">
      <c r="A26" s="1"/>
      <c r="B26" s="5">
        <v>1</v>
      </c>
      <c r="C26" s="14">
        <v>2.4426836879079223E-10</v>
      </c>
      <c r="D26" s="14">
        <v>0.27500000000000002</v>
      </c>
      <c r="E26" s="6" t="s">
        <v>0</v>
      </c>
    </row>
    <row r="27" spans="1:5" ht="18.5" x14ac:dyDescent="0.35">
      <c r="A27" s="1"/>
      <c r="B27" s="5">
        <v>1</v>
      </c>
      <c r="C27" s="14">
        <v>3.0133690325260208E-10</v>
      </c>
      <c r="D27" s="14">
        <v>0.32500000000000001</v>
      </c>
      <c r="E27" s="6" t="s">
        <v>1</v>
      </c>
    </row>
    <row r="28" spans="1:5" ht="18.5" x14ac:dyDescent="0.35">
      <c r="A28" s="1"/>
      <c r="B28" s="5">
        <v>1</v>
      </c>
      <c r="C28" s="14">
        <v>2.4426836879079223E-10</v>
      </c>
      <c r="D28" s="14">
        <v>0.32500000000000001</v>
      </c>
      <c r="E28" s="6" t="s">
        <v>0</v>
      </c>
    </row>
    <row r="29" spans="1:5" ht="18.5" x14ac:dyDescent="0.35">
      <c r="A29" s="1"/>
      <c r="B29" s="5">
        <v>1</v>
      </c>
      <c r="C29" s="14">
        <v>3.0133690325260208E-10</v>
      </c>
      <c r="D29" s="14">
        <v>0.375</v>
      </c>
      <c r="E29" s="6" t="s">
        <v>1</v>
      </c>
    </row>
    <row r="30" spans="1:5" ht="18.5" x14ac:dyDescent="0.35">
      <c r="A30" s="1"/>
      <c r="B30" s="5">
        <v>1</v>
      </c>
      <c r="C30" s="14">
        <v>2.4426836879079223E-10</v>
      </c>
      <c r="D30" s="14">
        <v>0.375</v>
      </c>
      <c r="E30" s="6" t="s">
        <v>0</v>
      </c>
    </row>
    <row r="31" spans="1:5" ht="18.5" x14ac:dyDescent="0.35">
      <c r="A31" s="1"/>
      <c r="B31" s="5">
        <v>1</v>
      </c>
      <c r="C31" s="14">
        <v>2.4426836879079223E-10</v>
      </c>
      <c r="D31" s="14">
        <v>0.42499999999999999</v>
      </c>
      <c r="E31" s="6" t="s">
        <v>0</v>
      </c>
    </row>
    <row r="32" spans="1:5" ht="18.5" x14ac:dyDescent="0.35">
      <c r="A32" s="1"/>
      <c r="B32" s="5">
        <v>1</v>
      </c>
      <c r="C32" s="14">
        <v>8.4820686531434011E-10</v>
      </c>
      <c r="D32" s="14">
        <v>0.44</v>
      </c>
      <c r="E32" s="6" t="s">
        <v>1</v>
      </c>
    </row>
    <row r="33" spans="1:5" ht="18.5" x14ac:dyDescent="0.35">
      <c r="A33" s="1"/>
      <c r="B33" s="5">
        <v>1</v>
      </c>
      <c r="C33" s="14">
        <v>2.4426836879079223E-10</v>
      </c>
      <c r="D33" s="14">
        <v>0.47499999999999998</v>
      </c>
      <c r="E33" s="6" t="s">
        <v>0</v>
      </c>
    </row>
    <row r="34" spans="1:5" ht="18.5" x14ac:dyDescent="0.35">
      <c r="A34" s="1"/>
      <c r="B34" s="5">
        <v>1</v>
      </c>
      <c r="C34" s="14">
        <v>2.4426836879079223E-10</v>
      </c>
      <c r="D34" s="14">
        <v>0.52500000000000002</v>
      </c>
      <c r="E34" s="6" t="s">
        <v>0</v>
      </c>
    </row>
    <row r="35" spans="1:5" ht="18.5" x14ac:dyDescent="0.35">
      <c r="A35" s="1"/>
      <c r="B35" s="5">
        <v>1</v>
      </c>
      <c r="C35" s="14">
        <v>6.5847604397278917E-10</v>
      </c>
      <c r="D35" s="14">
        <v>0.54</v>
      </c>
      <c r="E35" s="6" t="s">
        <v>1</v>
      </c>
    </row>
    <row r="36" spans="1:5" ht="18.5" x14ac:dyDescent="0.35">
      <c r="A36" s="1"/>
      <c r="B36" s="5">
        <v>1</v>
      </c>
      <c r="C36" s="14">
        <v>2.4426836879079223E-10</v>
      </c>
      <c r="D36" s="14">
        <v>0.57499999999999996</v>
      </c>
      <c r="E36" s="6" t="s">
        <v>0</v>
      </c>
    </row>
    <row r="37" spans="1:5" ht="18.5" x14ac:dyDescent="0.35">
      <c r="A37" s="1"/>
      <c r="B37" s="5">
        <v>1</v>
      </c>
      <c r="C37" s="14">
        <v>5.1338861958118716E-10</v>
      </c>
      <c r="D37" s="14">
        <v>0.64</v>
      </c>
      <c r="E37" s="6" t="s">
        <v>1</v>
      </c>
    </row>
    <row r="38" spans="1:5" ht="18.5" x14ac:dyDescent="0.35">
      <c r="A38" s="1"/>
      <c r="B38" s="5">
        <v>1</v>
      </c>
      <c r="C38" s="14">
        <v>4.7044218916156985E-10</v>
      </c>
      <c r="D38" s="14">
        <v>0.64900000000000002</v>
      </c>
      <c r="E38" s="6" t="s">
        <v>0</v>
      </c>
    </row>
    <row r="39" spans="1:5" ht="18.5" x14ac:dyDescent="0.35">
      <c r="A39" s="1"/>
      <c r="B39" s="5">
        <v>1</v>
      </c>
      <c r="C39" s="14">
        <v>4.0178253767013613E-10</v>
      </c>
      <c r="D39" s="14">
        <v>0.74</v>
      </c>
      <c r="E39" s="6" t="s">
        <v>1</v>
      </c>
    </row>
    <row r="40" spans="1:5" ht="18.5" x14ac:dyDescent="0.35">
      <c r="A40" s="1"/>
      <c r="B40" s="5">
        <v>1</v>
      </c>
      <c r="C40" s="14">
        <v>3.9319485856209364E-10</v>
      </c>
      <c r="D40" s="14">
        <v>0.749</v>
      </c>
      <c r="E40" s="6" t="s">
        <v>0</v>
      </c>
    </row>
    <row r="41" spans="1:5" ht="18.5" x14ac:dyDescent="0.35">
      <c r="A41" s="1"/>
      <c r="B41" s="5">
        <v>1</v>
      </c>
      <c r="C41" s="14">
        <v>3.1249735074611907E-10</v>
      </c>
      <c r="D41" s="14">
        <v>0.84</v>
      </c>
      <c r="E41" s="6" t="s">
        <v>1</v>
      </c>
    </row>
    <row r="42" spans="1:5" ht="18.5" x14ac:dyDescent="0.35">
      <c r="A42" s="1"/>
      <c r="B42" s="5">
        <v>1</v>
      </c>
      <c r="C42" s="14">
        <v>3.2986715304380446E-10</v>
      </c>
      <c r="D42" s="14">
        <v>0.84899999999999998</v>
      </c>
      <c r="E42" s="6" t="s">
        <v>0</v>
      </c>
    </row>
    <row r="43" spans="1:5" ht="18.5" x14ac:dyDescent="0.35">
      <c r="A43" s="1"/>
      <c r="B43" s="5">
        <v>1</v>
      </c>
      <c r="C43" s="14">
        <v>2.7558511475964166E-10</v>
      </c>
      <c r="D43" s="14">
        <v>0.94899999999999995</v>
      </c>
      <c r="E43" s="6" t="s">
        <v>0</v>
      </c>
    </row>
    <row r="44" spans="1:5" ht="18.5" x14ac:dyDescent="0.35">
      <c r="A44" s="1"/>
      <c r="B44" s="5">
        <v>1</v>
      </c>
      <c r="C44" s="14">
        <v>2.310461712419574E-10</v>
      </c>
      <c r="D44" s="14">
        <v>1.0489999999999999</v>
      </c>
      <c r="E44" s="6" t="s">
        <v>0</v>
      </c>
    </row>
    <row r="45" spans="1:5" ht="18.5" x14ac:dyDescent="0.35">
      <c r="A45" s="1"/>
      <c r="B45" s="5">
        <v>1</v>
      </c>
      <c r="C45" s="14">
        <v>1.3169520879455783E-9</v>
      </c>
      <c r="D45" s="14">
        <v>1.1000000000000001</v>
      </c>
      <c r="E45" s="6" t="s">
        <v>1</v>
      </c>
    </row>
    <row r="46" spans="1:5" ht="18.5" x14ac:dyDescent="0.35">
      <c r="A46" s="1"/>
      <c r="B46" s="5">
        <v>1</v>
      </c>
      <c r="C46" s="14">
        <v>1.927696127325144E-10</v>
      </c>
      <c r="D46" s="14">
        <v>1.149</v>
      </c>
      <c r="E46" s="6" t="s">
        <v>0</v>
      </c>
    </row>
    <row r="47" spans="1:5" ht="18.5" x14ac:dyDescent="0.35">
      <c r="A47" s="1"/>
      <c r="B47" s="5">
        <v>1</v>
      </c>
      <c r="C47" s="14">
        <v>1.6145286676366499E-10</v>
      </c>
      <c r="D47" s="14">
        <v>1.25</v>
      </c>
      <c r="E47" s="6" t="s">
        <v>0</v>
      </c>
    </row>
    <row r="48" spans="1:5" ht="18.5" x14ac:dyDescent="0.35">
      <c r="A48" s="1"/>
      <c r="B48" s="5">
        <v>1</v>
      </c>
      <c r="C48" s="14">
        <v>1.3500863236358343E-10</v>
      </c>
      <c r="D48" s="14">
        <v>1.35</v>
      </c>
      <c r="E48" s="6" t="s">
        <v>0</v>
      </c>
    </row>
    <row r="49" spans="1:5" ht="18.5" x14ac:dyDescent="0.35">
      <c r="A49" s="1"/>
      <c r="B49" s="5">
        <v>1</v>
      </c>
      <c r="C49" s="14">
        <v>1.1273916060474129E-10</v>
      </c>
      <c r="D49" s="14">
        <v>1.45</v>
      </c>
      <c r="E49" s="6" t="s">
        <v>0</v>
      </c>
    </row>
    <row r="50" spans="1:5" ht="18.5" x14ac:dyDescent="0.35">
      <c r="A50" s="1"/>
      <c r="B50" s="5">
        <v>1</v>
      </c>
      <c r="C50" s="14">
        <v>8.0356346836439118E-10</v>
      </c>
      <c r="D50" s="14">
        <v>1.56</v>
      </c>
      <c r="E50" s="6" t="s">
        <v>1</v>
      </c>
    </row>
    <row r="51" spans="1:5" ht="18.5" x14ac:dyDescent="0.35">
      <c r="A51" s="1"/>
      <c r="B51" s="5">
        <v>1</v>
      </c>
      <c r="C51" s="14">
        <v>4.0015467110268716E-10</v>
      </c>
      <c r="D51" s="14">
        <v>1.73</v>
      </c>
      <c r="E51" s="6" t="s">
        <v>0</v>
      </c>
    </row>
    <row r="52" spans="1:5" ht="18.5" x14ac:dyDescent="0.35">
      <c r="A52" s="1"/>
      <c r="B52" s="5">
        <v>1</v>
      </c>
      <c r="C52" s="14">
        <v>4.2410343265717006E-10</v>
      </c>
      <c r="D52" s="14">
        <v>2</v>
      </c>
      <c r="E52" s="6" t="s">
        <v>1</v>
      </c>
    </row>
    <row r="53" spans="1:5" ht="18.5" x14ac:dyDescent="0.35">
      <c r="A53" s="1"/>
      <c r="B53" s="5">
        <v>1</v>
      </c>
      <c r="C53" s="14">
        <v>2.3243781235489991E-10</v>
      </c>
      <c r="D53" s="14">
        <v>2.23</v>
      </c>
      <c r="E53" s="6" t="s">
        <v>0</v>
      </c>
    </row>
    <row r="54" spans="1:5" ht="18.5" x14ac:dyDescent="0.35">
      <c r="A54" s="1"/>
      <c r="B54" s="5">
        <v>1</v>
      </c>
      <c r="C54" s="14">
        <v>3.1249735074611907E-10</v>
      </c>
      <c r="D54" s="14">
        <v>2.4</v>
      </c>
      <c r="E54" s="6" t="s">
        <v>1</v>
      </c>
    </row>
    <row r="55" spans="1:5" ht="18.5" x14ac:dyDescent="0.35">
      <c r="A55" s="1"/>
      <c r="B55" s="5">
        <v>1</v>
      </c>
      <c r="C55" s="14">
        <v>1.3431265110952405E-10</v>
      </c>
      <c r="D55" s="14">
        <v>2.73</v>
      </c>
      <c r="E55" s="6" t="s">
        <v>0</v>
      </c>
    </row>
    <row r="56" spans="1:5" ht="18.5" x14ac:dyDescent="0.35">
      <c r="A56" s="1"/>
      <c r="B56" s="5">
        <v>1</v>
      </c>
      <c r="C56" s="14">
        <v>1.7857037384803403E-10</v>
      </c>
      <c r="D56" s="14">
        <v>2.8</v>
      </c>
      <c r="E56" s="6" t="s">
        <v>1</v>
      </c>
    </row>
    <row r="57" spans="1:5" ht="18.5" x14ac:dyDescent="0.35">
      <c r="A57" s="1"/>
      <c r="B57" s="5">
        <v>1</v>
      </c>
      <c r="C57" s="14">
        <v>7.7943151155947476E-11</v>
      </c>
      <c r="D57" s="14">
        <v>3.23</v>
      </c>
      <c r="E57" s="6" t="s">
        <v>0</v>
      </c>
    </row>
    <row r="58" spans="1:5" ht="18.5" x14ac:dyDescent="0.35">
      <c r="A58" s="1"/>
      <c r="B58" s="5">
        <v>1</v>
      </c>
      <c r="C58" s="14">
        <v>1.3392729829326122E-10</v>
      </c>
      <c r="D58" s="14">
        <v>3.25</v>
      </c>
      <c r="E58" s="6" t="s">
        <v>1</v>
      </c>
    </row>
    <row r="59" spans="1:5" ht="18.5" x14ac:dyDescent="0.35">
      <c r="A59" s="1"/>
      <c r="B59" s="5">
        <v>1</v>
      </c>
      <c r="C59" s="14">
        <v>4.5234764074155526E-11</v>
      </c>
      <c r="D59" s="14">
        <v>3.73</v>
      </c>
      <c r="E59" s="6" t="s">
        <v>0</v>
      </c>
    </row>
    <row r="60" spans="1:5" ht="18.5" x14ac:dyDescent="0.35">
      <c r="A60" s="1"/>
      <c r="B60" s="5">
        <v>1</v>
      </c>
      <c r="C60" s="14">
        <v>9.5981294722539123E-11</v>
      </c>
      <c r="D60" s="14">
        <v>3.75</v>
      </c>
      <c r="E60" s="6" t="s">
        <v>1</v>
      </c>
    </row>
    <row r="61" spans="1:5" ht="18.5" x14ac:dyDescent="0.35">
      <c r="A61" s="1"/>
      <c r="B61" s="5">
        <v>1</v>
      </c>
      <c r="C61" s="14">
        <v>2.6236131023492583E-11</v>
      </c>
      <c r="D61" s="14">
        <v>4.2300000000000004</v>
      </c>
      <c r="E61" s="6" t="s">
        <v>0</v>
      </c>
    </row>
    <row r="62" spans="1:5" ht="18.5" x14ac:dyDescent="0.35">
      <c r="A62" s="1"/>
      <c r="B62" s="5">
        <v>1</v>
      </c>
      <c r="C62" s="14">
        <v>4.6874522263123809E-11</v>
      </c>
      <c r="D62" s="14">
        <v>4.25</v>
      </c>
      <c r="E62" s="6" t="s">
        <v>1</v>
      </c>
    </row>
    <row r="63" spans="1:5" ht="18.5" x14ac:dyDescent="0.35">
      <c r="A63" s="1"/>
      <c r="B63" s="5">
        <v>1</v>
      </c>
      <c r="C63" s="14">
        <v>1.5171073618271502E-11</v>
      </c>
      <c r="D63" s="14">
        <v>4.7300000000000004</v>
      </c>
      <c r="E63" s="6" t="s">
        <v>0</v>
      </c>
    </row>
    <row r="64" spans="1:5" ht="18.5" x14ac:dyDescent="0.35">
      <c r="A64" s="1"/>
      <c r="B64" s="5">
        <v>1</v>
      </c>
      <c r="C64" s="14">
        <v>2.2321216382210206E-11</v>
      </c>
      <c r="D64" s="14">
        <v>4.75</v>
      </c>
      <c r="E64" s="6" t="s">
        <v>1</v>
      </c>
    </row>
    <row r="65" spans="1:5" ht="18.5" x14ac:dyDescent="0.35">
      <c r="A65" s="1"/>
      <c r="B65" s="5">
        <v>1</v>
      </c>
      <c r="C65" s="14">
        <v>8.8381905781309193E-12</v>
      </c>
      <c r="D65" s="14">
        <v>5.23</v>
      </c>
      <c r="E65" s="6" t="s">
        <v>0</v>
      </c>
    </row>
    <row r="66" spans="1:5" ht="18.5" x14ac:dyDescent="0.35">
      <c r="A66" s="1"/>
      <c r="B66" s="5">
        <v>1</v>
      </c>
      <c r="C66" s="14">
        <v>1.0602585816429252E-11</v>
      </c>
      <c r="D66" s="14">
        <v>5.25</v>
      </c>
      <c r="E66" s="6" t="s">
        <v>1</v>
      </c>
    </row>
    <row r="67" spans="1:5" ht="18.5" x14ac:dyDescent="0.35">
      <c r="A67" s="1"/>
      <c r="B67" s="5">
        <v>1</v>
      </c>
      <c r="C67" s="14">
        <v>8.0726754777008692E-12</v>
      </c>
      <c r="D67" s="14">
        <v>5.91</v>
      </c>
      <c r="E67" s="6" t="s">
        <v>0</v>
      </c>
    </row>
    <row r="68" spans="1:5" ht="18.5" x14ac:dyDescent="0.35">
      <c r="A68" s="1"/>
      <c r="B68" s="5">
        <v>1</v>
      </c>
      <c r="C68" s="14">
        <v>2.7140858444493316E-12</v>
      </c>
      <c r="D68" s="14">
        <v>6.91</v>
      </c>
      <c r="E68" s="6" t="s">
        <v>0</v>
      </c>
    </row>
    <row r="69" spans="1:5" ht="18.5" x14ac:dyDescent="0.35">
      <c r="A69" s="1"/>
      <c r="B69" s="5">
        <v>1</v>
      </c>
      <c r="C69" s="14">
        <v>9.0469688845899141E-13</v>
      </c>
      <c r="D69" s="14">
        <v>7.91</v>
      </c>
      <c r="E69" s="6" t="s">
        <v>0</v>
      </c>
    </row>
    <row r="70" spans="1:5" ht="18.5" x14ac:dyDescent="0.35">
      <c r="A70" s="1"/>
      <c r="B70" s="5">
        <v>1</v>
      </c>
      <c r="C70" s="14">
        <v>3.0620443319613887E-13</v>
      </c>
      <c r="D70" s="14">
        <v>8.91</v>
      </c>
      <c r="E70" s="6" t="s">
        <v>0</v>
      </c>
    </row>
    <row r="71" spans="1:5" ht="18.5" x14ac:dyDescent="0.35">
      <c r="A71" s="1"/>
      <c r="B71" s="5">
        <v>1</v>
      </c>
      <c r="C71" s="14">
        <v>1.0438802834638143E-13</v>
      </c>
      <c r="D71" s="14">
        <v>9.91</v>
      </c>
      <c r="E71" s="6" t="s">
        <v>0</v>
      </c>
    </row>
    <row r="72" spans="1:5" x14ac:dyDescent="0.35">
      <c r="C72" s="15"/>
      <c r="D72" s="16"/>
    </row>
    <row r="73" spans="1:5" x14ac:dyDescent="0.35">
      <c r="C73" s="15"/>
      <c r="D73" s="16"/>
    </row>
    <row r="74" spans="1:5" x14ac:dyDescent="0.35">
      <c r="C74" s="15"/>
      <c r="D74" s="16"/>
    </row>
    <row r="75" spans="1:5" x14ac:dyDescent="0.35">
      <c r="C75" s="15"/>
      <c r="D75" s="16"/>
    </row>
    <row r="76" spans="1:5" x14ac:dyDescent="0.35">
      <c r="C76" s="15"/>
      <c r="D76" s="16"/>
    </row>
    <row r="77" spans="1:5" x14ac:dyDescent="0.35">
      <c r="C77" s="15"/>
      <c r="D77" s="16"/>
    </row>
    <row r="78" spans="1:5" x14ac:dyDescent="0.35">
      <c r="C78" s="15"/>
      <c r="D78" s="16"/>
    </row>
    <row r="79" spans="1:5" x14ac:dyDescent="0.35">
      <c r="C79" s="15"/>
      <c r="D79" s="16"/>
    </row>
    <row r="80" spans="1:5" x14ac:dyDescent="0.35">
      <c r="C80" s="15"/>
      <c r="D80" s="16"/>
    </row>
    <row r="81" spans="3:4" x14ac:dyDescent="0.35">
      <c r="C81" s="15"/>
      <c r="D81" s="16"/>
    </row>
    <row r="82" spans="3:4" x14ac:dyDescent="0.35">
      <c r="C82" s="15"/>
      <c r="D82" s="16"/>
    </row>
    <row r="83" spans="3:4" x14ac:dyDescent="0.35">
      <c r="C83" s="15"/>
      <c r="D83" s="16"/>
    </row>
    <row r="84" spans="3:4" x14ac:dyDescent="0.35">
      <c r="C84" s="15"/>
      <c r="D84" s="16"/>
    </row>
    <row r="85" spans="3:4" x14ac:dyDescent="0.35">
      <c r="C85" s="15"/>
      <c r="D85" s="16"/>
    </row>
    <row r="86" spans="3:4" x14ac:dyDescent="0.35">
      <c r="C86" s="15"/>
      <c r="D86" s="16"/>
    </row>
    <row r="87" spans="3:4" x14ac:dyDescent="0.35">
      <c r="C87" s="15"/>
      <c r="D87" s="16"/>
    </row>
    <row r="88" spans="3:4" x14ac:dyDescent="0.35">
      <c r="C88" s="15"/>
      <c r="D88" s="16"/>
    </row>
    <row r="89" spans="3:4" x14ac:dyDescent="0.35">
      <c r="C89" s="15"/>
      <c r="D89" s="16"/>
    </row>
    <row r="90" spans="3:4" x14ac:dyDescent="0.35">
      <c r="C90" s="15"/>
      <c r="D90" s="16"/>
    </row>
    <row r="91" spans="3:4" x14ac:dyDescent="0.35">
      <c r="C91" s="15"/>
      <c r="D91" s="16"/>
    </row>
    <row r="92" spans="3:4" x14ac:dyDescent="0.35">
      <c r="C92" s="15"/>
      <c r="D92" s="16"/>
    </row>
    <row r="93" spans="3:4" x14ac:dyDescent="0.35">
      <c r="C93" s="15"/>
      <c r="D93" s="16"/>
    </row>
    <row r="94" spans="3:4" x14ac:dyDescent="0.35">
      <c r="C94" s="15"/>
      <c r="D94" s="16"/>
    </row>
    <row r="95" spans="3:4" x14ac:dyDescent="0.35">
      <c r="C95" s="15"/>
      <c r="D95" s="16"/>
    </row>
    <row r="96" spans="3:4" x14ac:dyDescent="0.35">
      <c r="C96" s="15"/>
      <c r="D96" s="16"/>
    </row>
    <row r="97" spans="3:4" x14ac:dyDescent="0.35">
      <c r="C97" s="15"/>
      <c r="D97" s="16"/>
    </row>
    <row r="98" spans="3:4" x14ac:dyDescent="0.35">
      <c r="C98" s="15"/>
      <c r="D98" s="16"/>
    </row>
    <row r="99" spans="3:4" x14ac:dyDescent="0.35">
      <c r="C99" s="15"/>
      <c r="D99" s="16"/>
    </row>
    <row r="100" spans="3:4" x14ac:dyDescent="0.35">
      <c r="C100" s="15"/>
      <c r="D100" s="16"/>
    </row>
    <row r="101" spans="3:4" x14ac:dyDescent="0.35">
      <c r="C101" s="15"/>
      <c r="D101" s="16"/>
    </row>
    <row r="102" spans="3:4" x14ac:dyDescent="0.35">
      <c r="C102" s="15"/>
      <c r="D102" s="16"/>
    </row>
    <row r="103" spans="3:4" x14ac:dyDescent="0.35">
      <c r="C103" s="15"/>
      <c r="D103" s="16"/>
    </row>
    <row r="104" spans="3:4" x14ac:dyDescent="0.35">
      <c r="C104" s="15"/>
      <c r="D104" s="16"/>
    </row>
    <row r="105" spans="3:4" x14ac:dyDescent="0.35">
      <c r="C105" s="15"/>
      <c r="D105" s="16"/>
    </row>
    <row r="106" spans="3:4" x14ac:dyDescent="0.35">
      <c r="C106" s="15"/>
      <c r="D106" s="16"/>
    </row>
    <row r="107" spans="3:4" x14ac:dyDescent="0.35">
      <c r="C107" s="15"/>
      <c r="D107" s="16"/>
    </row>
    <row r="108" spans="3:4" x14ac:dyDescent="0.35">
      <c r="C108" s="15"/>
      <c r="D108" s="16"/>
    </row>
    <row r="109" spans="3:4" x14ac:dyDescent="0.35">
      <c r="C109" s="15"/>
      <c r="D109" s="16"/>
    </row>
    <row r="110" spans="3:4" x14ac:dyDescent="0.35">
      <c r="C110" s="15"/>
      <c r="D110" s="16"/>
    </row>
    <row r="111" spans="3:4" x14ac:dyDescent="0.35">
      <c r="C111" s="15"/>
      <c r="D111" s="16"/>
    </row>
    <row r="112" spans="3:4" x14ac:dyDescent="0.35">
      <c r="C112" s="15"/>
      <c r="D112" s="16"/>
    </row>
    <row r="113" spans="3:4" x14ac:dyDescent="0.35">
      <c r="C113" s="15"/>
      <c r="D113" s="16"/>
    </row>
    <row r="114" spans="3:4" x14ac:dyDescent="0.35">
      <c r="C114" s="15"/>
      <c r="D114" s="16"/>
    </row>
    <row r="115" spans="3:4" x14ac:dyDescent="0.35">
      <c r="C115" s="15"/>
      <c r="D115" s="16"/>
    </row>
    <row r="116" spans="3:4" x14ac:dyDescent="0.35">
      <c r="C116" s="15"/>
      <c r="D116" s="16"/>
    </row>
    <row r="117" spans="3:4" x14ac:dyDescent="0.35">
      <c r="C117" s="15"/>
      <c r="D117" s="16"/>
    </row>
    <row r="118" spans="3:4" x14ac:dyDescent="0.35">
      <c r="C118" s="15"/>
      <c r="D118" s="16"/>
    </row>
    <row r="119" spans="3:4" x14ac:dyDescent="0.35">
      <c r="C119" s="15"/>
      <c r="D119" s="16"/>
    </row>
    <row r="120" spans="3:4" x14ac:dyDescent="0.35">
      <c r="C120" s="15"/>
      <c r="D120" s="16"/>
    </row>
    <row r="121" spans="3:4" x14ac:dyDescent="0.35">
      <c r="C121" s="15"/>
      <c r="D121" s="16"/>
    </row>
    <row r="122" spans="3:4" x14ac:dyDescent="0.35">
      <c r="C122" s="15"/>
      <c r="D122" s="16"/>
    </row>
    <row r="123" spans="3:4" x14ac:dyDescent="0.35">
      <c r="C123" s="15"/>
      <c r="D123" s="16"/>
    </row>
    <row r="124" spans="3:4" x14ac:dyDescent="0.35">
      <c r="C124" s="15"/>
      <c r="D124" s="16"/>
    </row>
    <row r="125" spans="3:4" x14ac:dyDescent="0.35">
      <c r="C125" s="15"/>
      <c r="D125" s="16"/>
    </row>
    <row r="126" spans="3:4" x14ac:dyDescent="0.35">
      <c r="C126" s="15"/>
      <c r="D126" s="16"/>
    </row>
    <row r="127" spans="3:4" x14ac:dyDescent="0.35">
      <c r="C127" s="15"/>
      <c r="D127" s="16"/>
    </row>
    <row r="128" spans="3:4" x14ac:dyDescent="0.35">
      <c r="C128" s="15"/>
      <c r="D128" s="16"/>
    </row>
    <row r="129" spans="3:4" x14ac:dyDescent="0.35">
      <c r="C129" s="15"/>
      <c r="D129" s="16"/>
    </row>
    <row r="130" spans="3:4" x14ac:dyDescent="0.35">
      <c r="C130" s="15"/>
      <c r="D130" s="16"/>
    </row>
    <row r="131" spans="3:4" x14ac:dyDescent="0.35">
      <c r="C131" s="15"/>
      <c r="D131" s="16"/>
    </row>
    <row r="132" spans="3:4" x14ac:dyDescent="0.35">
      <c r="C132" s="15"/>
      <c r="D132" s="16"/>
    </row>
    <row r="133" spans="3:4" x14ac:dyDescent="0.35">
      <c r="C133" s="15"/>
      <c r="D133" s="16"/>
    </row>
    <row r="134" spans="3:4" x14ac:dyDescent="0.35">
      <c r="C134" s="15"/>
      <c r="D134" s="16"/>
    </row>
    <row r="135" spans="3:4" x14ac:dyDescent="0.35">
      <c r="C135" s="15"/>
      <c r="D135" s="16"/>
    </row>
    <row r="136" spans="3:4" x14ac:dyDescent="0.35">
      <c r="C136" s="15"/>
      <c r="D136" s="16"/>
    </row>
    <row r="137" spans="3:4" x14ac:dyDescent="0.35">
      <c r="C137" s="15"/>
      <c r="D137" s="16"/>
    </row>
    <row r="138" spans="3:4" x14ac:dyDescent="0.35">
      <c r="C138" s="15"/>
      <c r="D138" s="16"/>
    </row>
    <row r="139" spans="3:4" x14ac:dyDescent="0.35">
      <c r="C139" s="15"/>
      <c r="D139" s="16"/>
    </row>
    <row r="140" spans="3:4" x14ac:dyDescent="0.35">
      <c r="C140" s="15"/>
      <c r="D140" s="16"/>
    </row>
    <row r="141" spans="3:4" x14ac:dyDescent="0.35">
      <c r="C141" s="15"/>
      <c r="D141" s="16"/>
    </row>
    <row r="142" spans="3:4" x14ac:dyDescent="0.35">
      <c r="C142" s="15"/>
      <c r="D142" s="16"/>
    </row>
    <row r="143" spans="3:4" x14ac:dyDescent="0.35">
      <c r="C143" s="15"/>
      <c r="D143" s="16"/>
    </row>
    <row r="144" spans="3:4" x14ac:dyDescent="0.35">
      <c r="C144" s="15"/>
      <c r="D144" s="16"/>
    </row>
    <row r="145" spans="3:4" x14ac:dyDescent="0.35">
      <c r="C145" s="15"/>
      <c r="D145" s="16"/>
    </row>
    <row r="146" spans="3:4" x14ac:dyDescent="0.35">
      <c r="C146" s="15"/>
      <c r="D146" s="16"/>
    </row>
    <row r="147" spans="3:4" x14ac:dyDescent="0.35">
      <c r="C147" s="15"/>
      <c r="D147" s="16"/>
    </row>
    <row r="148" spans="3:4" x14ac:dyDescent="0.35">
      <c r="C148" s="15"/>
      <c r="D148" s="16"/>
    </row>
    <row r="149" spans="3:4" x14ac:dyDescent="0.35">
      <c r="C149" s="15"/>
      <c r="D149" s="16"/>
    </row>
    <row r="150" spans="3:4" x14ac:dyDescent="0.35">
      <c r="C150" s="15"/>
      <c r="D150" s="16"/>
    </row>
    <row r="151" spans="3:4" x14ac:dyDescent="0.35">
      <c r="C151" s="15"/>
      <c r="D151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CF4BC-16A0-45DE-93C4-BD555E78D393}">
  <dimension ref="A1:I151"/>
  <sheetViews>
    <sheetView topLeftCell="A45" workbookViewId="0">
      <selection activeCell="B2" sqref="B2:E71"/>
    </sheetView>
  </sheetViews>
  <sheetFormatPr defaultRowHeight="14.5" x14ac:dyDescent="0.35"/>
  <cols>
    <col min="2" max="2" width="28.1796875" customWidth="1"/>
    <col min="3" max="3" width="28.1796875" style="13" customWidth="1"/>
    <col min="4" max="5" width="28.1796875" customWidth="1"/>
  </cols>
  <sheetData>
    <row r="1" spans="1:9" ht="18.5" x14ac:dyDescent="0.35">
      <c r="A1" s="8" t="s">
        <v>20</v>
      </c>
      <c r="B1" s="7" t="str">
        <f>REF_U238!A1</f>
        <v>Category</v>
      </c>
      <c r="C1" s="7" t="str">
        <f>REF_U238!B1</f>
        <v>Yield</v>
      </c>
      <c r="D1" s="7" t="str">
        <f>REF_U238!C1</f>
        <v>Energy</v>
      </c>
      <c r="E1" s="7" t="str">
        <f>REF_U238!D1</f>
        <v>Category</v>
      </c>
    </row>
    <row r="2" spans="1:9" ht="18.5" x14ac:dyDescent="0.35">
      <c r="A2" s="1"/>
      <c r="B2" s="5">
        <v>1</v>
      </c>
      <c r="C2" s="14" cm="1">
        <f t="array" ref="C2:C71">(target_total_fg_th230/Y_fg_U238)*fg_yield_ref</f>
        <v>1.8306579959868245E-14</v>
      </c>
      <c r="D2" s="14">
        <v>1.4800000000000001E-2</v>
      </c>
      <c r="E2" s="6" t="s">
        <v>0</v>
      </c>
    </row>
    <row r="3" spans="1:9" ht="18.5" x14ac:dyDescent="0.35">
      <c r="A3" s="1"/>
      <c r="B3" s="5">
        <v>1</v>
      </c>
      <c r="C3" s="14">
        <v>3.4101858361710037E-14</v>
      </c>
      <c r="D3" s="14">
        <v>0.03</v>
      </c>
      <c r="E3" s="6" t="s">
        <v>1</v>
      </c>
    </row>
    <row r="4" spans="1:9" ht="18.5" x14ac:dyDescent="0.35">
      <c r="A4" s="1"/>
      <c r="B4" s="5">
        <v>1</v>
      </c>
      <c r="C4" s="14">
        <v>4.7747717246281888E-14</v>
      </c>
      <c r="D4" s="14">
        <v>3.1399999999999997E-2</v>
      </c>
      <c r="E4" s="6" t="s">
        <v>0</v>
      </c>
    </row>
    <row r="5" spans="1:9" ht="18.5" x14ac:dyDescent="0.35">
      <c r="A5" s="1"/>
      <c r="B5" s="5">
        <v>1</v>
      </c>
      <c r="C5" s="14">
        <v>1.384110645411286E-15</v>
      </c>
      <c r="D5" s="14">
        <v>4.53E-2</v>
      </c>
      <c r="E5" s="6" t="s">
        <v>0</v>
      </c>
    </row>
    <row r="6" spans="1:9" ht="18.5" x14ac:dyDescent="0.35">
      <c r="A6" s="1"/>
      <c r="B6" s="5">
        <v>1</v>
      </c>
      <c r="C6" s="14">
        <v>3.4101858361710037E-14</v>
      </c>
      <c r="D6" s="14">
        <v>0.05</v>
      </c>
      <c r="E6" s="6" t="s">
        <v>1</v>
      </c>
    </row>
    <row r="7" spans="1:9" ht="18.5" x14ac:dyDescent="0.35">
      <c r="A7" s="1"/>
      <c r="B7" s="5">
        <v>1</v>
      </c>
      <c r="C7" s="14">
        <v>1.9717772612696203E-15</v>
      </c>
      <c r="D7" s="14">
        <v>5.5300000000000002E-2</v>
      </c>
      <c r="E7" s="6" t="s">
        <v>0</v>
      </c>
    </row>
    <row r="8" spans="1:9" ht="18.5" x14ac:dyDescent="0.35">
      <c r="A8" s="1"/>
      <c r="B8" s="5">
        <v>1</v>
      </c>
      <c r="C8" s="14">
        <v>3.4101858361710037E-14</v>
      </c>
      <c r="D8" s="14">
        <v>7.0000000000000007E-2</v>
      </c>
      <c r="E8" s="6" t="s">
        <v>1</v>
      </c>
    </row>
    <row r="9" spans="1:9" ht="18.5" x14ac:dyDescent="0.35">
      <c r="A9" s="1"/>
      <c r="B9" s="5">
        <v>1</v>
      </c>
      <c r="C9" s="14">
        <v>4.0208723815246052E-15</v>
      </c>
      <c r="D9" s="14">
        <v>7.5300000000000006E-2</v>
      </c>
      <c r="E9" s="6" t="s">
        <v>0</v>
      </c>
    </row>
    <row r="10" spans="1:9" ht="18.5" x14ac:dyDescent="0.35">
      <c r="A10" s="1"/>
      <c r="B10" s="5">
        <v>1</v>
      </c>
      <c r="C10" s="14">
        <v>5.7026663812466107E-15</v>
      </c>
      <c r="D10" s="14">
        <v>8.5300000000000001E-2</v>
      </c>
      <c r="E10" s="6" t="s">
        <v>0</v>
      </c>
    </row>
    <row r="11" spans="1:9" ht="18.5" x14ac:dyDescent="0.35">
      <c r="A11" s="1"/>
      <c r="B11" s="5">
        <v>1</v>
      </c>
      <c r="C11" s="14">
        <v>3.4101858361710037E-14</v>
      </c>
      <c r="D11" s="14">
        <v>0.09</v>
      </c>
      <c r="E11" s="6" t="s">
        <v>1</v>
      </c>
      <c r="I11">
        <f>187+71</f>
        <v>258</v>
      </c>
    </row>
    <row r="12" spans="1:9" ht="18.5" x14ac:dyDescent="0.35">
      <c r="A12" s="1"/>
      <c r="B12" s="5">
        <v>1</v>
      </c>
      <c r="C12" s="14">
        <v>8.1383954346473333E-15</v>
      </c>
      <c r="D12" s="14">
        <v>9.5299999999999996E-2</v>
      </c>
      <c r="E12" s="6" t="s">
        <v>0</v>
      </c>
    </row>
    <row r="13" spans="1:9" ht="18.5" x14ac:dyDescent="0.35">
      <c r="A13" s="1"/>
      <c r="B13" s="5">
        <v>1</v>
      </c>
      <c r="C13" s="14">
        <v>3.4101858361710037E-14</v>
      </c>
      <c r="D13" s="14">
        <v>0.11</v>
      </c>
      <c r="E13" s="6" t="s">
        <v>1</v>
      </c>
    </row>
    <row r="14" spans="1:9" ht="18.5" x14ac:dyDescent="0.35">
      <c r="A14" s="1"/>
      <c r="B14" s="5">
        <v>1</v>
      </c>
      <c r="C14" s="14">
        <v>2.7063571832261193E-14</v>
      </c>
      <c r="D14" s="14">
        <v>0.11</v>
      </c>
      <c r="E14" s="6" t="s">
        <v>0</v>
      </c>
    </row>
    <row r="15" spans="1:9" ht="18.5" x14ac:dyDescent="0.35">
      <c r="A15" s="1"/>
      <c r="B15" s="5">
        <v>1</v>
      </c>
      <c r="C15" s="14">
        <v>3.4101858361710037E-14</v>
      </c>
      <c r="D15" s="14">
        <v>0.13</v>
      </c>
      <c r="E15" s="6" t="s">
        <v>1</v>
      </c>
    </row>
    <row r="16" spans="1:9" ht="18.5" x14ac:dyDescent="0.35">
      <c r="A16" s="1"/>
      <c r="B16" s="5">
        <v>1</v>
      </c>
      <c r="C16" s="14">
        <v>2.7063571832261193E-14</v>
      </c>
      <c r="D16" s="14">
        <v>0.13</v>
      </c>
      <c r="E16" s="6" t="s">
        <v>0</v>
      </c>
    </row>
    <row r="17" spans="1:5" ht="18.5" x14ac:dyDescent="0.35">
      <c r="A17" s="1"/>
      <c r="B17" s="5">
        <v>1</v>
      </c>
      <c r="C17" s="14">
        <v>3.4101858361710037E-14</v>
      </c>
      <c r="D17" s="14">
        <v>0.15</v>
      </c>
      <c r="E17" s="6" t="s">
        <v>1</v>
      </c>
    </row>
    <row r="18" spans="1:5" ht="18.5" x14ac:dyDescent="0.35">
      <c r="A18" s="1"/>
      <c r="B18" s="5">
        <v>1</v>
      </c>
      <c r="C18" s="14">
        <v>2.7063571832261193E-14</v>
      </c>
      <c r="D18" s="14">
        <v>0.15</v>
      </c>
      <c r="E18" s="6" t="s">
        <v>0</v>
      </c>
    </row>
    <row r="19" spans="1:5" ht="18.5" x14ac:dyDescent="0.35">
      <c r="A19" s="1"/>
      <c r="B19" s="5">
        <v>1</v>
      </c>
      <c r="C19" s="14">
        <v>3.4101858361710037E-14</v>
      </c>
      <c r="D19" s="14">
        <v>0.17</v>
      </c>
      <c r="E19" s="6" t="s">
        <v>1</v>
      </c>
    </row>
    <row r="20" spans="1:5" ht="18.5" x14ac:dyDescent="0.35">
      <c r="A20" s="1"/>
      <c r="B20" s="5">
        <v>1</v>
      </c>
      <c r="C20" s="14">
        <v>2.7063571832261193E-14</v>
      </c>
      <c r="D20" s="14">
        <v>0.17</v>
      </c>
      <c r="E20" s="6" t="s">
        <v>0</v>
      </c>
    </row>
    <row r="21" spans="1:5" ht="18.5" x14ac:dyDescent="0.35">
      <c r="A21" s="1"/>
      <c r="B21" s="5">
        <v>1</v>
      </c>
      <c r="C21" s="14">
        <v>3.4101858361710037E-14</v>
      </c>
      <c r="D21" s="14">
        <v>0.19</v>
      </c>
      <c r="E21" s="6" t="s">
        <v>1</v>
      </c>
    </row>
    <row r="22" spans="1:5" ht="18.5" x14ac:dyDescent="0.35">
      <c r="A22" s="1"/>
      <c r="B22" s="5">
        <v>1</v>
      </c>
      <c r="C22" s="14">
        <v>2.7063571832261193E-14</v>
      </c>
      <c r="D22" s="14">
        <v>0.19</v>
      </c>
      <c r="E22" s="6" t="s">
        <v>0</v>
      </c>
    </row>
    <row r="23" spans="1:5" ht="18.5" x14ac:dyDescent="0.35">
      <c r="A23" s="1"/>
      <c r="B23" s="5">
        <v>1</v>
      </c>
      <c r="C23" s="14">
        <v>8.3704695347945019E-14</v>
      </c>
      <c r="D23" s="14">
        <v>0.22500000000000001</v>
      </c>
      <c r="E23" s="6" t="s">
        <v>1</v>
      </c>
    </row>
    <row r="24" spans="1:5" ht="18.5" x14ac:dyDescent="0.35">
      <c r="A24" s="1"/>
      <c r="B24" s="5">
        <v>1</v>
      </c>
      <c r="C24" s="14">
        <v>6.7852324664108947E-14</v>
      </c>
      <c r="D24" s="14">
        <v>0.22500000000000001</v>
      </c>
      <c r="E24" s="6" t="s">
        <v>0</v>
      </c>
    </row>
    <row r="25" spans="1:5" ht="18.5" x14ac:dyDescent="0.35">
      <c r="A25" s="1"/>
      <c r="B25" s="5">
        <v>1</v>
      </c>
      <c r="C25" s="14">
        <v>8.3704695347945019E-14</v>
      </c>
      <c r="D25" s="14">
        <v>0.27500000000000002</v>
      </c>
      <c r="E25" s="6" t="s">
        <v>1</v>
      </c>
    </row>
    <row r="26" spans="1:5" ht="18.5" x14ac:dyDescent="0.35">
      <c r="A26" s="1"/>
      <c r="B26" s="5">
        <v>1</v>
      </c>
      <c r="C26" s="14">
        <v>6.7852324664108947E-14</v>
      </c>
      <c r="D26" s="14">
        <v>0.27500000000000002</v>
      </c>
      <c r="E26" s="6" t="s">
        <v>0</v>
      </c>
    </row>
    <row r="27" spans="1:5" ht="18.5" x14ac:dyDescent="0.35">
      <c r="A27" s="1"/>
      <c r="B27" s="5">
        <v>1</v>
      </c>
      <c r="C27" s="14">
        <v>8.3704695347945019E-14</v>
      </c>
      <c r="D27" s="14">
        <v>0.32500000000000001</v>
      </c>
      <c r="E27" s="6" t="s">
        <v>1</v>
      </c>
    </row>
    <row r="28" spans="1:5" ht="18.5" x14ac:dyDescent="0.35">
      <c r="A28" s="1"/>
      <c r="B28" s="5">
        <v>1</v>
      </c>
      <c r="C28" s="14">
        <v>6.7852324664108947E-14</v>
      </c>
      <c r="D28" s="14">
        <v>0.32500000000000001</v>
      </c>
      <c r="E28" s="6" t="s">
        <v>0</v>
      </c>
    </row>
    <row r="29" spans="1:5" ht="18.5" x14ac:dyDescent="0.35">
      <c r="A29" s="1"/>
      <c r="B29" s="5">
        <v>1</v>
      </c>
      <c r="C29" s="14">
        <v>8.3704695347945019E-14</v>
      </c>
      <c r="D29" s="14">
        <v>0.375</v>
      </c>
      <c r="E29" s="6" t="s">
        <v>1</v>
      </c>
    </row>
    <row r="30" spans="1:5" ht="18.5" x14ac:dyDescent="0.35">
      <c r="A30" s="1"/>
      <c r="B30" s="5">
        <v>1</v>
      </c>
      <c r="C30" s="14">
        <v>6.7852324664108947E-14</v>
      </c>
      <c r="D30" s="14">
        <v>0.375</v>
      </c>
      <c r="E30" s="6" t="s">
        <v>0</v>
      </c>
    </row>
    <row r="31" spans="1:5" ht="18.5" x14ac:dyDescent="0.35">
      <c r="A31" s="1"/>
      <c r="B31" s="5">
        <v>1</v>
      </c>
      <c r="C31" s="14">
        <v>6.7852324664108947E-14</v>
      </c>
      <c r="D31" s="14">
        <v>0.42499999999999999</v>
      </c>
      <c r="E31" s="6" t="s">
        <v>0</v>
      </c>
    </row>
    <row r="32" spans="1:5" ht="18.5" x14ac:dyDescent="0.35">
      <c r="A32" s="1"/>
      <c r="B32" s="5">
        <v>1</v>
      </c>
      <c r="C32" s="14">
        <v>2.3561301814287227E-13</v>
      </c>
      <c r="D32" s="14">
        <v>0.44</v>
      </c>
      <c r="E32" s="6" t="s">
        <v>1</v>
      </c>
    </row>
    <row r="33" spans="1:5" ht="18.5" x14ac:dyDescent="0.35">
      <c r="A33" s="1"/>
      <c r="B33" s="5">
        <v>1</v>
      </c>
      <c r="C33" s="14">
        <v>6.7852324664108947E-14</v>
      </c>
      <c r="D33" s="14">
        <v>0.47499999999999998</v>
      </c>
      <c r="E33" s="6" t="s">
        <v>0</v>
      </c>
    </row>
    <row r="34" spans="1:5" ht="18.5" x14ac:dyDescent="0.35">
      <c r="A34" s="1"/>
      <c r="B34" s="5">
        <v>1</v>
      </c>
      <c r="C34" s="14">
        <v>6.7852324664108947E-14</v>
      </c>
      <c r="D34" s="14">
        <v>0.52500000000000002</v>
      </c>
      <c r="E34" s="6" t="s">
        <v>0</v>
      </c>
    </row>
    <row r="35" spans="1:5" ht="18.5" x14ac:dyDescent="0.35">
      <c r="A35" s="1"/>
      <c r="B35" s="5">
        <v>1</v>
      </c>
      <c r="C35" s="14">
        <v>1.8291001221466367E-13</v>
      </c>
      <c r="D35" s="14">
        <v>0.54</v>
      </c>
      <c r="E35" s="6" t="s">
        <v>1</v>
      </c>
    </row>
    <row r="36" spans="1:5" ht="18.5" x14ac:dyDescent="0.35">
      <c r="A36" s="1"/>
      <c r="B36" s="5">
        <v>1</v>
      </c>
      <c r="C36" s="14">
        <v>6.7852324664108947E-14</v>
      </c>
      <c r="D36" s="14">
        <v>0.57499999999999996</v>
      </c>
      <c r="E36" s="6" t="s">
        <v>0</v>
      </c>
    </row>
    <row r="37" spans="1:5" ht="18.5" x14ac:dyDescent="0.35">
      <c r="A37" s="1"/>
      <c r="B37" s="5">
        <v>1</v>
      </c>
      <c r="C37" s="14">
        <v>1.426079498836631E-13</v>
      </c>
      <c r="D37" s="14">
        <v>0.64</v>
      </c>
      <c r="E37" s="6" t="s">
        <v>1</v>
      </c>
    </row>
    <row r="38" spans="1:5" ht="18.5" x14ac:dyDescent="0.35">
      <c r="A38" s="1"/>
      <c r="B38" s="5">
        <v>1</v>
      </c>
      <c r="C38" s="14">
        <v>1.3067838587821387E-13</v>
      </c>
      <c r="D38" s="14">
        <v>0.64900000000000002</v>
      </c>
      <c r="E38" s="6" t="s">
        <v>0</v>
      </c>
    </row>
    <row r="39" spans="1:5" ht="18.5" x14ac:dyDescent="0.35">
      <c r="A39" s="1"/>
      <c r="B39" s="5">
        <v>1</v>
      </c>
      <c r="C39" s="14">
        <v>1.116062604639267E-13</v>
      </c>
      <c r="D39" s="14">
        <v>0.74</v>
      </c>
      <c r="E39" s="6" t="s">
        <v>1</v>
      </c>
    </row>
    <row r="40" spans="1:5" ht="18.5" x14ac:dyDescent="0.35">
      <c r="A40" s="1"/>
      <c r="B40" s="5">
        <v>1</v>
      </c>
      <c r="C40" s="14">
        <v>1.0922079404502601E-13</v>
      </c>
      <c r="D40" s="14">
        <v>0.749</v>
      </c>
      <c r="E40" s="6" t="s">
        <v>0</v>
      </c>
    </row>
    <row r="41" spans="1:5" ht="18.5" x14ac:dyDescent="0.35">
      <c r="A41" s="1"/>
      <c r="B41" s="5">
        <v>1</v>
      </c>
      <c r="C41" s="14">
        <v>8.6804819651699744E-14</v>
      </c>
      <c r="D41" s="14">
        <v>0.84</v>
      </c>
      <c r="E41" s="6" t="s">
        <v>1</v>
      </c>
    </row>
    <row r="42" spans="1:5" ht="18.5" x14ac:dyDescent="0.35">
      <c r="A42" s="1"/>
      <c r="B42" s="5">
        <v>1</v>
      </c>
      <c r="C42" s="14">
        <v>9.1629764734390137E-14</v>
      </c>
      <c r="D42" s="14">
        <v>0.84899999999999998</v>
      </c>
      <c r="E42" s="6" t="s">
        <v>0</v>
      </c>
    </row>
    <row r="43" spans="1:5" ht="18.5" x14ac:dyDescent="0.35">
      <c r="A43" s="1"/>
      <c r="B43" s="5">
        <v>1</v>
      </c>
      <c r="C43" s="14">
        <v>7.6551420766567137E-14</v>
      </c>
      <c r="D43" s="14">
        <v>0.94899999999999995</v>
      </c>
      <c r="E43" s="6" t="s">
        <v>0</v>
      </c>
    </row>
    <row r="44" spans="1:5" ht="18.5" x14ac:dyDescent="0.35">
      <c r="A44" s="1"/>
      <c r="B44" s="5">
        <v>1</v>
      </c>
      <c r="C44" s="14">
        <v>6.4179492011654834E-14</v>
      </c>
      <c r="D44" s="14">
        <v>1.0489999999999999</v>
      </c>
      <c r="E44" s="6" t="s">
        <v>0</v>
      </c>
    </row>
    <row r="45" spans="1:5" ht="18.5" x14ac:dyDescent="0.35">
      <c r="A45" s="1"/>
      <c r="B45" s="5">
        <v>1</v>
      </c>
      <c r="C45" s="14">
        <v>3.6582002442932733E-13</v>
      </c>
      <c r="D45" s="14">
        <v>1.1000000000000001</v>
      </c>
      <c r="E45" s="6" t="s">
        <v>1</v>
      </c>
    </row>
    <row r="46" spans="1:5" ht="18.5" x14ac:dyDescent="0.35">
      <c r="A46" s="1"/>
      <c r="B46" s="5">
        <v>1</v>
      </c>
      <c r="C46" s="14">
        <v>5.3547114647920667E-14</v>
      </c>
      <c r="D46" s="14">
        <v>1.149</v>
      </c>
      <c r="E46" s="6" t="s">
        <v>0</v>
      </c>
    </row>
    <row r="47" spans="1:5" ht="18.5" x14ac:dyDescent="0.35">
      <c r="A47" s="1"/>
      <c r="B47" s="5">
        <v>1</v>
      </c>
      <c r="C47" s="14">
        <v>4.4848018545462495E-14</v>
      </c>
      <c r="D47" s="14">
        <v>1.25</v>
      </c>
      <c r="E47" s="6" t="s">
        <v>0</v>
      </c>
    </row>
    <row r="48" spans="1:5" ht="18.5" x14ac:dyDescent="0.35">
      <c r="A48" s="1"/>
      <c r="B48" s="5">
        <v>1</v>
      </c>
      <c r="C48" s="14">
        <v>3.7502397878773172E-14</v>
      </c>
      <c r="D48" s="14">
        <v>1.35</v>
      </c>
      <c r="E48" s="6" t="s">
        <v>0</v>
      </c>
    </row>
    <row r="49" spans="1:5" ht="18.5" x14ac:dyDescent="0.35">
      <c r="A49" s="1"/>
      <c r="B49" s="5">
        <v>1</v>
      </c>
      <c r="C49" s="14">
        <v>3.1316433501317026E-14</v>
      </c>
      <c r="D49" s="14">
        <v>1.45</v>
      </c>
      <c r="E49" s="6" t="s">
        <v>0</v>
      </c>
    </row>
    <row r="50" spans="1:5" ht="18.5" x14ac:dyDescent="0.35">
      <c r="A50" s="1"/>
      <c r="B50" s="5">
        <v>1</v>
      </c>
      <c r="C50" s="14">
        <v>2.2321207454566421E-13</v>
      </c>
      <c r="D50" s="14">
        <v>1.56</v>
      </c>
      <c r="E50" s="6" t="s">
        <v>1</v>
      </c>
    </row>
    <row r="51" spans="1:5" ht="18.5" x14ac:dyDescent="0.35">
      <c r="A51" s="1"/>
      <c r="B51" s="5">
        <v>1</v>
      </c>
      <c r="C51" s="14">
        <v>1.11154075306302E-13</v>
      </c>
      <c r="D51" s="14">
        <v>1.73</v>
      </c>
      <c r="E51" s="6" t="s">
        <v>0</v>
      </c>
    </row>
    <row r="52" spans="1:5" ht="18.5" x14ac:dyDescent="0.35">
      <c r="A52" s="1"/>
      <c r="B52" s="5">
        <v>1</v>
      </c>
      <c r="C52" s="14">
        <v>1.1780650907143613E-13</v>
      </c>
      <c r="D52" s="14">
        <v>2</v>
      </c>
      <c r="E52" s="6" t="s">
        <v>1</v>
      </c>
    </row>
    <row r="53" spans="1:5" ht="18.5" x14ac:dyDescent="0.35">
      <c r="A53" s="1"/>
      <c r="B53" s="5">
        <v>1</v>
      </c>
      <c r="C53" s="14">
        <v>6.45660589874722E-14</v>
      </c>
      <c r="D53" s="14">
        <v>2.23</v>
      </c>
      <c r="E53" s="6" t="s">
        <v>0</v>
      </c>
    </row>
    <row r="54" spans="1:5" ht="18.5" x14ac:dyDescent="0.35">
      <c r="A54" s="1"/>
      <c r="B54" s="5">
        <v>1</v>
      </c>
      <c r="C54" s="14">
        <v>8.6804819651699744E-14</v>
      </c>
      <c r="D54" s="14">
        <v>2.4</v>
      </c>
      <c r="E54" s="6" t="s">
        <v>1</v>
      </c>
    </row>
    <row r="55" spans="1:5" ht="18.5" x14ac:dyDescent="0.35">
      <c r="A55" s="1"/>
      <c r="B55" s="5">
        <v>1</v>
      </c>
      <c r="C55" s="14">
        <v>3.7309069752645574E-14</v>
      </c>
      <c r="D55" s="14">
        <v>2.73</v>
      </c>
      <c r="E55" s="6" t="s">
        <v>0</v>
      </c>
    </row>
    <row r="56" spans="1:5" ht="18.5" x14ac:dyDescent="0.35">
      <c r="A56" s="1"/>
      <c r="B56" s="5">
        <v>1</v>
      </c>
      <c r="C56" s="14">
        <v>4.9602881624453896E-14</v>
      </c>
      <c r="D56" s="14">
        <v>2.8</v>
      </c>
      <c r="E56" s="6" t="s">
        <v>1</v>
      </c>
    </row>
    <row r="57" spans="1:5" ht="18.5" x14ac:dyDescent="0.35">
      <c r="A57" s="1"/>
      <c r="B57" s="5">
        <v>1</v>
      </c>
      <c r="C57" s="14">
        <v>2.1650875321096521E-14</v>
      </c>
      <c r="D57" s="14">
        <v>3.23</v>
      </c>
      <c r="E57" s="6" t="s">
        <v>0</v>
      </c>
    </row>
    <row r="58" spans="1:5" ht="18.5" x14ac:dyDescent="0.35">
      <c r="A58" s="1"/>
      <c r="B58" s="5">
        <v>1</v>
      </c>
      <c r="C58" s="14">
        <v>3.7202027303683677E-14</v>
      </c>
      <c r="D58" s="14">
        <v>3.25</v>
      </c>
      <c r="E58" s="6" t="s">
        <v>1</v>
      </c>
    </row>
    <row r="59" spans="1:5" ht="18.5" x14ac:dyDescent="0.35">
      <c r="A59" s="1"/>
      <c r="B59" s="5">
        <v>1</v>
      </c>
      <c r="C59" s="14">
        <v>1.2565212242820979E-14</v>
      </c>
      <c r="D59" s="14">
        <v>3.73</v>
      </c>
      <c r="E59" s="6" t="s">
        <v>0</v>
      </c>
    </row>
    <row r="60" spans="1:5" ht="18.5" x14ac:dyDescent="0.35">
      <c r="A60" s="1"/>
      <c r="B60" s="5">
        <v>1</v>
      </c>
      <c r="C60" s="14">
        <v>2.6661470756260866E-14</v>
      </c>
      <c r="D60" s="14">
        <v>3.75</v>
      </c>
      <c r="E60" s="6" t="s">
        <v>1</v>
      </c>
    </row>
    <row r="61" spans="1:5" ht="18.5" x14ac:dyDescent="0.35">
      <c r="A61" s="1"/>
      <c r="B61" s="5">
        <v>1</v>
      </c>
      <c r="C61" s="14">
        <v>7.2878141731923832E-15</v>
      </c>
      <c r="D61" s="14">
        <v>4.2300000000000004</v>
      </c>
      <c r="E61" s="6" t="s">
        <v>0</v>
      </c>
    </row>
    <row r="62" spans="1:5" ht="18.5" x14ac:dyDescent="0.35">
      <c r="A62" s="1"/>
      <c r="B62" s="5">
        <v>1</v>
      </c>
      <c r="C62" s="14">
        <v>1.3020700628645503E-14</v>
      </c>
      <c r="D62" s="14">
        <v>4.25</v>
      </c>
      <c r="E62" s="6" t="s">
        <v>1</v>
      </c>
    </row>
    <row r="63" spans="1:5" ht="18.5" x14ac:dyDescent="0.35">
      <c r="A63" s="1"/>
      <c r="B63" s="5">
        <v>1</v>
      </c>
      <c r="C63" s="14">
        <v>4.2141871161865277E-15</v>
      </c>
      <c r="D63" s="14">
        <v>4.7300000000000004</v>
      </c>
      <c r="E63" s="6" t="s">
        <v>0</v>
      </c>
    </row>
    <row r="64" spans="1:5" ht="18.5" x14ac:dyDescent="0.35">
      <c r="A64" s="1"/>
      <c r="B64" s="5">
        <v>1</v>
      </c>
      <c r="C64" s="14">
        <v>6.200337883947279E-15</v>
      </c>
      <c r="D64" s="14">
        <v>4.75</v>
      </c>
      <c r="E64" s="6" t="s">
        <v>1</v>
      </c>
    </row>
    <row r="65" spans="1:5" ht="18.5" x14ac:dyDescent="0.35">
      <c r="A65" s="1"/>
      <c r="B65" s="5">
        <v>1</v>
      </c>
      <c r="C65" s="14">
        <v>2.4550529383696996E-15</v>
      </c>
      <c r="D65" s="14">
        <v>5.23</v>
      </c>
      <c r="E65" s="6" t="s">
        <v>0</v>
      </c>
    </row>
    <row r="66" spans="1:5" ht="18.5" x14ac:dyDescent="0.35">
      <c r="A66" s="1"/>
      <c r="B66" s="5">
        <v>1</v>
      </c>
      <c r="C66" s="14">
        <v>2.9451627267859036E-15</v>
      </c>
      <c r="D66" s="14">
        <v>5.25</v>
      </c>
      <c r="E66" s="6" t="s">
        <v>1</v>
      </c>
    </row>
    <row r="67" spans="1:5" ht="18.5" x14ac:dyDescent="0.35">
      <c r="A67" s="1"/>
      <c r="B67" s="5">
        <v>1</v>
      </c>
      <c r="C67" s="14">
        <v>2.2424098549169082E-15</v>
      </c>
      <c r="D67" s="14">
        <v>5.91</v>
      </c>
      <c r="E67" s="6" t="s">
        <v>0</v>
      </c>
    </row>
    <row r="68" spans="1:5" ht="18.5" x14ac:dyDescent="0.35">
      <c r="A68" s="1"/>
      <c r="B68" s="5">
        <v>1</v>
      </c>
      <c r="C68" s="14">
        <v>7.5391273456925873E-16</v>
      </c>
      <c r="D68" s="14">
        <v>6.91</v>
      </c>
      <c r="E68" s="6" t="s">
        <v>0</v>
      </c>
    </row>
    <row r="69" spans="1:5" ht="18.5" x14ac:dyDescent="0.35">
      <c r="A69" s="1"/>
      <c r="B69" s="5">
        <v>1</v>
      </c>
      <c r="C69" s="14">
        <v>2.5130469123860871E-16</v>
      </c>
      <c r="D69" s="14">
        <v>7.91</v>
      </c>
      <c r="E69" s="6" t="s">
        <v>0</v>
      </c>
    </row>
    <row r="70" spans="1:5" ht="18.5" x14ac:dyDescent="0.35">
      <c r="A70" s="1"/>
      <c r="B70" s="5">
        <v>1</v>
      </c>
      <c r="C70" s="14">
        <v>8.5056786998927467E-17</v>
      </c>
      <c r="D70" s="14">
        <v>8.91</v>
      </c>
      <c r="E70" s="6" t="s">
        <v>0</v>
      </c>
    </row>
    <row r="71" spans="1:5" ht="18.5" x14ac:dyDescent="0.35">
      <c r="A71" s="1"/>
      <c r="B71" s="5">
        <v>1</v>
      </c>
      <c r="C71" s="14">
        <v>2.8996674540661509E-17</v>
      </c>
      <c r="D71" s="14">
        <v>9.91</v>
      </c>
      <c r="E71" s="6" t="s">
        <v>0</v>
      </c>
    </row>
    <row r="72" spans="1:5" x14ac:dyDescent="0.35">
      <c r="C72" s="15"/>
      <c r="D72" s="16"/>
    </row>
    <row r="73" spans="1:5" x14ac:dyDescent="0.35">
      <c r="C73" s="15"/>
      <c r="D73" s="16"/>
    </row>
    <row r="74" spans="1:5" x14ac:dyDescent="0.35">
      <c r="C74" s="15"/>
      <c r="D74" s="16"/>
    </row>
    <row r="75" spans="1:5" x14ac:dyDescent="0.35">
      <c r="C75" s="15"/>
      <c r="D75" s="16"/>
    </row>
    <row r="76" spans="1:5" x14ac:dyDescent="0.35">
      <c r="C76" s="15"/>
      <c r="D76" s="16"/>
    </row>
    <row r="77" spans="1:5" x14ac:dyDescent="0.35">
      <c r="C77" s="15"/>
      <c r="D77" s="16"/>
    </row>
    <row r="78" spans="1:5" x14ac:dyDescent="0.35">
      <c r="C78" s="15"/>
      <c r="D78" s="16"/>
    </row>
    <row r="79" spans="1:5" x14ac:dyDescent="0.35">
      <c r="C79" s="15"/>
      <c r="D79" s="16"/>
    </row>
    <row r="80" spans="1:5" x14ac:dyDescent="0.35">
      <c r="C80" s="15"/>
      <c r="D80" s="16"/>
    </row>
    <row r="81" spans="3:4" x14ac:dyDescent="0.35">
      <c r="C81" s="15"/>
      <c r="D81" s="16"/>
    </row>
    <row r="82" spans="3:4" x14ac:dyDescent="0.35">
      <c r="C82" s="15"/>
      <c r="D82" s="16"/>
    </row>
    <row r="83" spans="3:4" x14ac:dyDescent="0.35">
      <c r="C83" s="15"/>
      <c r="D83" s="16"/>
    </row>
    <row r="84" spans="3:4" x14ac:dyDescent="0.35">
      <c r="C84" s="15"/>
      <c r="D84" s="16"/>
    </row>
    <row r="85" spans="3:4" x14ac:dyDescent="0.35">
      <c r="C85" s="15"/>
      <c r="D85" s="16"/>
    </row>
    <row r="86" spans="3:4" x14ac:dyDescent="0.35">
      <c r="C86" s="15"/>
      <c r="D86" s="16"/>
    </row>
    <row r="87" spans="3:4" x14ac:dyDescent="0.35">
      <c r="C87" s="15"/>
      <c r="D87" s="16"/>
    </row>
    <row r="88" spans="3:4" x14ac:dyDescent="0.35">
      <c r="C88" s="15"/>
      <c r="D88" s="16"/>
    </row>
    <row r="89" spans="3:4" x14ac:dyDescent="0.35">
      <c r="C89" s="15"/>
      <c r="D89" s="16"/>
    </row>
    <row r="90" spans="3:4" x14ac:dyDescent="0.35">
      <c r="C90" s="15"/>
      <c r="D90" s="16"/>
    </row>
    <row r="91" spans="3:4" x14ac:dyDescent="0.35">
      <c r="C91" s="15"/>
      <c r="D91" s="16"/>
    </row>
    <row r="92" spans="3:4" x14ac:dyDescent="0.35">
      <c r="C92" s="15"/>
      <c r="D92" s="16"/>
    </row>
    <row r="93" spans="3:4" x14ac:dyDescent="0.35">
      <c r="C93" s="15"/>
      <c r="D93" s="16"/>
    </row>
    <row r="94" spans="3:4" x14ac:dyDescent="0.35">
      <c r="C94" s="15"/>
      <c r="D94" s="16"/>
    </row>
    <row r="95" spans="3:4" x14ac:dyDescent="0.35">
      <c r="C95" s="15"/>
      <c r="D95" s="16"/>
    </row>
    <row r="96" spans="3:4" x14ac:dyDescent="0.35">
      <c r="C96" s="15"/>
      <c r="D96" s="16"/>
    </row>
    <row r="97" spans="3:4" x14ac:dyDescent="0.35">
      <c r="C97" s="15"/>
      <c r="D97" s="16"/>
    </row>
    <row r="98" spans="3:4" x14ac:dyDescent="0.35">
      <c r="C98" s="15"/>
      <c r="D98" s="16"/>
    </row>
    <row r="99" spans="3:4" x14ac:dyDescent="0.35">
      <c r="C99" s="15"/>
      <c r="D99" s="16"/>
    </row>
    <row r="100" spans="3:4" x14ac:dyDescent="0.35">
      <c r="C100" s="15"/>
      <c r="D100" s="16"/>
    </row>
    <row r="101" spans="3:4" x14ac:dyDescent="0.35">
      <c r="C101" s="15"/>
      <c r="D101" s="16"/>
    </row>
    <row r="102" spans="3:4" x14ac:dyDescent="0.35">
      <c r="C102" s="15"/>
      <c r="D102" s="16"/>
    </row>
    <row r="103" spans="3:4" x14ac:dyDescent="0.35">
      <c r="C103" s="15"/>
      <c r="D103" s="16"/>
    </row>
    <row r="104" spans="3:4" x14ac:dyDescent="0.35">
      <c r="C104" s="15"/>
      <c r="D104" s="16"/>
    </row>
    <row r="105" spans="3:4" x14ac:dyDescent="0.35">
      <c r="C105" s="15"/>
      <c r="D105" s="16"/>
    </row>
    <row r="106" spans="3:4" x14ac:dyDescent="0.35">
      <c r="C106" s="15"/>
      <c r="D106" s="16"/>
    </row>
    <row r="107" spans="3:4" x14ac:dyDescent="0.35">
      <c r="C107" s="15"/>
      <c r="D107" s="16"/>
    </row>
    <row r="108" spans="3:4" x14ac:dyDescent="0.35">
      <c r="C108" s="15"/>
      <c r="D108" s="16"/>
    </row>
    <row r="109" spans="3:4" x14ac:dyDescent="0.35">
      <c r="C109" s="15"/>
      <c r="D109" s="16"/>
    </row>
    <row r="110" spans="3:4" x14ac:dyDescent="0.35">
      <c r="C110" s="15"/>
      <c r="D110" s="16"/>
    </row>
    <row r="111" spans="3:4" x14ac:dyDescent="0.35">
      <c r="C111" s="15"/>
      <c r="D111" s="16"/>
    </row>
    <row r="112" spans="3:4" x14ac:dyDescent="0.35">
      <c r="C112" s="15"/>
      <c r="D112" s="16"/>
    </row>
    <row r="113" spans="3:4" x14ac:dyDescent="0.35">
      <c r="C113" s="15"/>
      <c r="D113" s="16"/>
    </row>
    <row r="114" spans="3:4" x14ac:dyDescent="0.35">
      <c r="C114" s="15"/>
      <c r="D114" s="16"/>
    </row>
    <row r="115" spans="3:4" x14ac:dyDescent="0.35">
      <c r="C115" s="15"/>
      <c r="D115" s="16"/>
    </row>
    <row r="116" spans="3:4" x14ac:dyDescent="0.35">
      <c r="C116" s="15"/>
      <c r="D116" s="16"/>
    </row>
    <row r="117" spans="3:4" x14ac:dyDescent="0.35">
      <c r="C117" s="15"/>
      <c r="D117" s="16"/>
    </row>
    <row r="118" spans="3:4" x14ac:dyDescent="0.35">
      <c r="C118" s="15"/>
      <c r="D118" s="16"/>
    </row>
    <row r="119" spans="3:4" x14ac:dyDescent="0.35">
      <c r="C119" s="15"/>
      <c r="D119" s="16"/>
    </row>
    <row r="120" spans="3:4" x14ac:dyDescent="0.35">
      <c r="C120" s="15"/>
      <c r="D120" s="16"/>
    </row>
    <row r="121" spans="3:4" x14ac:dyDescent="0.35">
      <c r="C121" s="15"/>
      <c r="D121" s="16"/>
    </row>
    <row r="122" spans="3:4" x14ac:dyDescent="0.35">
      <c r="C122" s="15"/>
      <c r="D122" s="16"/>
    </row>
    <row r="123" spans="3:4" x14ac:dyDescent="0.35">
      <c r="C123" s="15"/>
      <c r="D123" s="16"/>
    </row>
    <row r="124" spans="3:4" x14ac:dyDescent="0.35">
      <c r="C124" s="15"/>
      <c r="D124" s="16"/>
    </row>
    <row r="125" spans="3:4" x14ac:dyDescent="0.35">
      <c r="C125" s="15"/>
      <c r="D125" s="16"/>
    </row>
    <row r="126" spans="3:4" x14ac:dyDescent="0.35">
      <c r="C126" s="15"/>
      <c r="D126" s="16"/>
    </row>
    <row r="127" spans="3:4" x14ac:dyDescent="0.35">
      <c r="C127" s="15"/>
      <c r="D127" s="16"/>
    </row>
    <row r="128" spans="3:4" x14ac:dyDescent="0.35">
      <c r="C128" s="15"/>
      <c r="D128" s="16"/>
    </row>
    <row r="129" spans="3:4" x14ac:dyDescent="0.35">
      <c r="C129" s="15"/>
      <c r="D129" s="16"/>
    </row>
    <row r="130" spans="3:4" x14ac:dyDescent="0.35">
      <c r="C130" s="15"/>
      <c r="D130" s="16"/>
    </row>
    <row r="131" spans="3:4" x14ac:dyDescent="0.35">
      <c r="C131" s="15"/>
      <c r="D131" s="16"/>
    </row>
    <row r="132" spans="3:4" x14ac:dyDescent="0.35">
      <c r="C132" s="15"/>
      <c r="D132" s="16"/>
    </row>
    <row r="133" spans="3:4" x14ac:dyDescent="0.35">
      <c r="C133" s="15"/>
      <c r="D133" s="16"/>
    </row>
    <row r="134" spans="3:4" x14ac:dyDescent="0.35">
      <c r="C134" s="15"/>
      <c r="D134" s="16"/>
    </row>
    <row r="135" spans="3:4" x14ac:dyDescent="0.35">
      <c r="C135" s="15"/>
      <c r="D135" s="16"/>
    </row>
    <row r="136" spans="3:4" x14ac:dyDescent="0.35">
      <c r="C136" s="15"/>
      <c r="D136" s="16"/>
    </row>
    <row r="137" spans="3:4" x14ac:dyDescent="0.35">
      <c r="C137" s="15"/>
      <c r="D137" s="16"/>
    </row>
    <row r="138" spans="3:4" x14ac:dyDescent="0.35">
      <c r="C138" s="15"/>
      <c r="D138" s="16"/>
    </row>
    <row r="139" spans="3:4" x14ac:dyDescent="0.35">
      <c r="C139" s="15"/>
      <c r="D139" s="16"/>
    </row>
    <row r="140" spans="3:4" x14ac:dyDescent="0.35">
      <c r="C140" s="15"/>
      <c r="D140" s="16"/>
    </row>
    <row r="141" spans="3:4" x14ac:dyDescent="0.35">
      <c r="C141" s="15"/>
      <c r="D141" s="16"/>
    </row>
    <row r="142" spans="3:4" x14ac:dyDescent="0.35">
      <c r="C142" s="15"/>
      <c r="D142" s="16"/>
    </row>
    <row r="143" spans="3:4" x14ac:dyDescent="0.35">
      <c r="C143" s="15"/>
      <c r="D143" s="16"/>
    </row>
    <row r="144" spans="3:4" x14ac:dyDescent="0.35">
      <c r="C144" s="15"/>
      <c r="D144" s="16"/>
    </row>
    <row r="145" spans="3:4" x14ac:dyDescent="0.35">
      <c r="C145" s="15"/>
      <c r="D145" s="16"/>
    </row>
    <row r="146" spans="3:4" x14ac:dyDescent="0.35">
      <c r="C146" s="15"/>
      <c r="D146" s="16"/>
    </row>
    <row r="147" spans="3:4" x14ac:dyDescent="0.35">
      <c r="C147" s="15"/>
      <c r="D147" s="16"/>
    </row>
    <row r="148" spans="3:4" x14ac:dyDescent="0.35">
      <c r="C148" s="15"/>
      <c r="D148" s="16"/>
    </row>
    <row r="149" spans="3:4" x14ac:dyDescent="0.35">
      <c r="C149" s="15"/>
      <c r="D149" s="16"/>
    </row>
    <row r="150" spans="3:4" x14ac:dyDescent="0.35">
      <c r="C150" s="15"/>
      <c r="D150" s="16"/>
    </row>
    <row r="151" spans="3:4" x14ac:dyDescent="0.35">
      <c r="C151" s="15"/>
      <c r="D15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82D3C-78FE-41C5-AAAB-FA885FB240DA}">
  <dimension ref="A1:E151"/>
  <sheetViews>
    <sheetView tabSelected="1" topLeftCell="A45" workbookViewId="0">
      <selection activeCell="B2" sqref="B2:E71"/>
    </sheetView>
  </sheetViews>
  <sheetFormatPr defaultRowHeight="14.5" x14ac:dyDescent="0.35"/>
  <cols>
    <col min="2" max="2" width="28.1796875" customWidth="1"/>
    <col min="3" max="3" width="28.1796875" style="13" customWidth="1"/>
    <col min="4" max="5" width="28.1796875" customWidth="1"/>
  </cols>
  <sheetData>
    <row r="1" spans="1:5" ht="18.5" x14ac:dyDescent="0.35">
      <c r="A1" s="8" t="s">
        <v>20</v>
      </c>
      <c r="B1" s="7" t="str">
        <f>REF_U238!A1</f>
        <v>Category</v>
      </c>
      <c r="C1" s="7" t="str">
        <f>REF_U238!B1</f>
        <v>Yield</v>
      </c>
      <c r="D1" s="7" t="str">
        <f>REF_U238!C1</f>
        <v>Energy</v>
      </c>
      <c r="E1" s="7" t="str">
        <f>REF_U238!D1</f>
        <v>Category</v>
      </c>
    </row>
    <row r="2" spans="1:5" ht="18.5" x14ac:dyDescent="0.35">
      <c r="A2" s="1"/>
      <c r="B2" s="5">
        <v>1</v>
      </c>
      <c r="C2" s="14" cm="1">
        <f t="array" ref="C2:C71">(target_total_fg_th232/Y_fg_U238)*fg_yield_ref</f>
        <v>1.0251684777526217E-12</v>
      </c>
      <c r="D2" s="14">
        <v>1.4800000000000001E-2</v>
      </c>
      <c r="E2" s="6" t="s">
        <v>0</v>
      </c>
    </row>
    <row r="3" spans="1:5" ht="18.5" x14ac:dyDescent="0.35">
      <c r="A3" s="1"/>
      <c r="B3" s="5">
        <v>1</v>
      </c>
      <c r="C3" s="14">
        <v>1.909704068255762E-12</v>
      </c>
      <c r="D3" s="14">
        <v>0.03</v>
      </c>
      <c r="E3" s="6" t="s">
        <v>1</v>
      </c>
    </row>
    <row r="4" spans="1:5" ht="18.5" x14ac:dyDescent="0.35">
      <c r="A4" s="1"/>
      <c r="B4" s="5">
        <v>1</v>
      </c>
      <c r="C4" s="14">
        <v>2.6738721657917861E-12</v>
      </c>
      <c r="D4" s="14">
        <v>3.1399999999999997E-2</v>
      </c>
      <c r="E4" s="6" t="s">
        <v>0</v>
      </c>
    </row>
    <row r="5" spans="1:5" ht="18.5" x14ac:dyDescent="0.35">
      <c r="A5" s="1"/>
      <c r="B5" s="5">
        <v>1</v>
      </c>
      <c r="C5" s="14">
        <v>7.7510196143032023E-14</v>
      </c>
      <c r="D5" s="14">
        <v>4.53E-2</v>
      </c>
      <c r="E5" s="6" t="s">
        <v>0</v>
      </c>
    </row>
    <row r="6" spans="1:5" ht="18.5" x14ac:dyDescent="0.35">
      <c r="A6" s="1"/>
      <c r="B6" s="5">
        <v>1</v>
      </c>
      <c r="C6" s="14">
        <v>1.909704068255762E-12</v>
      </c>
      <c r="D6" s="14">
        <v>0.05</v>
      </c>
      <c r="E6" s="6" t="s">
        <v>1</v>
      </c>
    </row>
    <row r="7" spans="1:5" ht="18.5" x14ac:dyDescent="0.35">
      <c r="A7" s="1"/>
      <c r="B7" s="5">
        <v>1</v>
      </c>
      <c r="C7" s="14">
        <v>1.1041952663109874E-13</v>
      </c>
      <c r="D7" s="14">
        <v>5.5300000000000002E-2</v>
      </c>
      <c r="E7" s="6" t="s">
        <v>0</v>
      </c>
    </row>
    <row r="8" spans="1:5" ht="18.5" x14ac:dyDescent="0.35">
      <c r="A8" s="1"/>
      <c r="B8" s="5">
        <v>1</v>
      </c>
      <c r="C8" s="14">
        <v>1.909704068255762E-12</v>
      </c>
      <c r="D8" s="14">
        <v>7.0000000000000007E-2</v>
      </c>
      <c r="E8" s="6" t="s">
        <v>1</v>
      </c>
    </row>
    <row r="9" spans="1:5" ht="18.5" x14ac:dyDescent="0.35">
      <c r="A9" s="1"/>
      <c r="B9" s="5">
        <v>1</v>
      </c>
      <c r="C9" s="14">
        <v>2.2516885336537789E-13</v>
      </c>
      <c r="D9" s="14">
        <v>7.5300000000000006E-2</v>
      </c>
      <c r="E9" s="6" t="s">
        <v>0</v>
      </c>
    </row>
    <row r="10" spans="1:5" ht="18.5" x14ac:dyDescent="0.35">
      <c r="A10" s="1"/>
      <c r="B10" s="5">
        <v>1</v>
      </c>
      <c r="C10" s="14">
        <v>3.1934931734981022E-13</v>
      </c>
      <c r="D10" s="14">
        <v>8.5300000000000001E-2</v>
      </c>
      <c r="E10" s="6" t="s">
        <v>0</v>
      </c>
    </row>
    <row r="11" spans="1:5" ht="18.5" x14ac:dyDescent="0.35">
      <c r="A11" s="1"/>
      <c r="B11" s="5">
        <v>1</v>
      </c>
      <c r="C11" s="14">
        <v>1.909704068255762E-12</v>
      </c>
      <c r="D11" s="14">
        <v>0.09</v>
      </c>
      <c r="E11" s="6" t="s">
        <v>1</v>
      </c>
    </row>
    <row r="12" spans="1:5" ht="18.5" x14ac:dyDescent="0.35">
      <c r="A12" s="1"/>
      <c r="B12" s="5">
        <v>1</v>
      </c>
      <c r="C12" s="14">
        <v>4.5575014434025065E-13</v>
      </c>
      <c r="D12" s="14">
        <v>9.5299999999999996E-2</v>
      </c>
      <c r="E12" s="6" t="s">
        <v>0</v>
      </c>
    </row>
    <row r="13" spans="1:5" ht="18.5" x14ac:dyDescent="0.35">
      <c r="A13" s="1"/>
      <c r="B13" s="5">
        <v>1</v>
      </c>
      <c r="C13" s="14">
        <v>1.909704068255762E-12</v>
      </c>
      <c r="D13" s="14">
        <v>0.11</v>
      </c>
      <c r="E13" s="6" t="s">
        <v>1</v>
      </c>
    </row>
    <row r="14" spans="1:5" ht="18.5" x14ac:dyDescent="0.35">
      <c r="A14" s="1"/>
      <c r="B14" s="5">
        <v>1</v>
      </c>
      <c r="C14" s="14">
        <v>1.5155600226066269E-12</v>
      </c>
      <c r="D14" s="14">
        <v>0.11</v>
      </c>
      <c r="E14" s="6" t="s">
        <v>0</v>
      </c>
    </row>
    <row r="15" spans="1:5" ht="18.5" x14ac:dyDescent="0.35">
      <c r="A15" s="1"/>
      <c r="B15" s="5">
        <v>1</v>
      </c>
      <c r="C15" s="14">
        <v>1.909704068255762E-12</v>
      </c>
      <c r="D15" s="14">
        <v>0.13</v>
      </c>
      <c r="E15" s="6" t="s">
        <v>1</v>
      </c>
    </row>
    <row r="16" spans="1:5" ht="18.5" x14ac:dyDescent="0.35">
      <c r="A16" s="1"/>
      <c r="B16" s="5">
        <v>1</v>
      </c>
      <c r="C16" s="14">
        <v>1.5155600226066269E-12</v>
      </c>
      <c r="D16" s="14">
        <v>0.13</v>
      </c>
      <c r="E16" s="6" t="s">
        <v>0</v>
      </c>
    </row>
    <row r="17" spans="1:5" ht="18.5" x14ac:dyDescent="0.35">
      <c r="A17" s="1"/>
      <c r="B17" s="5">
        <v>1</v>
      </c>
      <c r="C17" s="14">
        <v>1.909704068255762E-12</v>
      </c>
      <c r="D17" s="14">
        <v>0.15</v>
      </c>
      <c r="E17" s="6" t="s">
        <v>1</v>
      </c>
    </row>
    <row r="18" spans="1:5" ht="18.5" x14ac:dyDescent="0.35">
      <c r="A18" s="1"/>
      <c r="B18" s="5">
        <v>1</v>
      </c>
      <c r="C18" s="14">
        <v>1.5155600226066269E-12</v>
      </c>
      <c r="D18" s="14">
        <v>0.15</v>
      </c>
      <c r="E18" s="6" t="s">
        <v>0</v>
      </c>
    </row>
    <row r="19" spans="1:5" ht="18.5" x14ac:dyDescent="0.35">
      <c r="A19" s="1"/>
      <c r="B19" s="5">
        <v>1</v>
      </c>
      <c r="C19" s="14">
        <v>1.909704068255762E-12</v>
      </c>
      <c r="D19" s="14">
        <v>0.17</v>
      </c>
      <c r="E19" s="6" t="s">
        <v>1</v>
      </c>
    </row>
    <row r="20" spans="1:5" ht="18.5" x14ac:dyDescent="0.35">
      <c r="A20" s="1"/>
      <c r="B20" s="5">
        <v>1</v>
      </c>
      <c r="C20" s="14">
        <v>1.5155600226066269E-12</v>
      </c>
      <c r="D20" s="14">
        <v>0.17</v>
      </c>
      <c r="E20" s="6" t="s">
        <v>0</v>
      </c>
    </row>
    <row r="21" spans="1:5" ht="18.5" x14ac:dyDescent="0.35">
      <c r="A21" s="1"/>
      <c r="B21" s="5">
        <v>1</v>
      </c>
      <c r="C21" s="14">
        <v>1.909704068255762E-12</v>
      </c>
      <c r="D21" s="14">
        <v>0.19</v>
      </c>
      <c r="E21" s="6" t="s">
        <v>1</v>
      </c>
    </row>
    <row r="22" spans="1:5" ht="18.5" x14ac:dyDescent="0.35">
      <c r="A22" s="1"/>
      <c r="B22" s="5">
        <v>1</v>
      </c>
      <c r="C22" s="14">
        <v>1.5155600226066269E-12</v>
      </c>
      <c r="D22" s="14">
        <v>0.19</v>
      </c>
      <c r="E22" s="6" t="s">
        <v>0</v>
      </c>
    </row>
    <row r="23" spans="1:5" ht="18.5" x14ac:dyDescent="0.35">
      <c r="A23" s="1"/>
      <c r="B23" s="5">
        <v>1</v>
      </c>
      <c r="C23" s="14">
        <v>4.6874629394849208E-12</v>
      </c>
      <c r="D23" s="14">
        <v>0.22500000000000001</v>
      </c>
      <c r="E23" s="6" t="s">
        <v>1</v>
      </c>
    </row>
    <row r="24" spans="1:5" ht="18.5" x14ac:dyDescent="0.35">
      <c r="A24" s="1"/>
      <c r="B24" s="5">
        <v>1</v>
      </c>
      <c r="C24" s="14">
        <v>3.7997301811901012E-12</v>
      </c>
      <c r="D24" s="14">
        <v>0.22500000000000001</v>
      </c>
      <c r="E24" s="6" t="s">
        <v>0</v>
      </c>
    </row>
    <row r="25" spans="1:5" ht="18.5" x14ac:dyDescent="0.35">
      <c r="A25" s="1"/>
      <c r="B25" s="5">
        <v>1</v>
      </c>
      <c r="C25" s="14">
        <v>4.6874629394849208E-12</v>
      </c>
      <c r="D25" s="14">
        <v>0.27500000000000002</v>
      </c>
      <c r="E25" s="6" t="s">
        <v>1</v>
      </c>
    </row>
    <row r="26" spans="1:5" ht="18.5" x14ac:dyDescent="0.35">
      <c r="A26" s="1"/>
      <c r="B26" s="5">
        <v>1</v>
      </c>
      <c r="C26" s="14">
        <v>3.7997301811901012E-12</v>
      </c>
      <c r="D26" s="14">
        <v>0.27500000000000002</v>
      </c>
      <c r="E26" s="6" t="s">
        <v>0</v>
      </c>
    </row>
    <row r="27" spans="1:5" ht="18.5" x14ac:dyDescent="0.35">
      <c r="A27" s="1"/>
      <c r="B27" s="5">
        <v>1</v>
      </c>
      <c r="C27" s="14">
        <v>4.6874629394849208E-12</v>
      </c>
      <c r="D27" s="14">
        <v>0.32500000000000001</v>
      </c>
      <c r="E27" s="6" t="s">
        <v>1</v>
      </c>
    </row>
    <row r="28" spans="1:5" ht="18.5" x14ac:dyDescent="0.35">
      <c r="A28" s="1"/>
      <c r="B28" s="5">
        <v>1</v>
      </c>
      <c r="C28" s="14">
        <v>3.7997301811901012E-12</v>
      </c>
      <c r="D28" s="14">
        <v>0.32500000000000001</v>
      </c>
      <c r="E28" s="6" t="s">
        <v>0</v>
      </c>
    </row>
    <row r="29" spans="1:5" ht="18.5" x14ac:dyDescent="0.35">
      <c r="A29" s="1"/>
      <c r="B29" s="5">
        <v>1</v>
      </c>
      <c r="C29" s="14">
        <v>4.6874629394849208E-12</v>
      </c>
      <c r="D29" s="14">
        <v>0.375</v>
      </c>
      <c r="E29" s="6" t="s">
        <v>1</v>
      </c>
    </row>
    <row r="30" spans="1:5" ht="18.5" x14ac:dyDescent="0.35">
      <c r="A30" s="1"/>
      <c r="B30" s="5">
        <v>1</v>
      </c>
      <c r="C30" s="14">
        <v>3.7997301811901012E-12</v>
      </c>
      <c r="D30" s="14">
        <v>0.375</v>
      </c>
      <c r="E30" s="6" t="s">
        <v>0</v>
      </c>
    </row>
    <row r="31" spans="1:5" ht="18.5" x14ac:dyDescent="0.35">
      <c r="A31" s="1"/>
      <c r="B31" s="5">
        <v>1</v>
      </c>
      <c r="C31" s="14">
        <v>3.7997301811901012E-12</v>
      </c>
      <c r="D31" s="14">
        <v>0.42499999999999999</v>
      </c>
      <c r="E31" s="6" t="s">
        <v>0</v>
      </c>
    </row>
    <row r="32" spans="1:5" ht="18.5" x14ac:dyDescent="0.35">
      <c r="A32" s="1"/>
      <c r="B32" s="5">
        <v>1</v>
      </c>
      <c r="C32" s="14">
        <v>1.3194329016000847E-11</v>
      </c>
      <c r="D32" s="14">
        <v>0.44</v>
      </c>
      <c r="E32" s="6" t="s">
        <v>1</v>
      </c>
    </row>
    <row r="33" spans="1:5" ht="18.5" x14ac:dyDescent="0.35">
      <c r="A33" s="1"/>
      <c r="B33" s="5">
        <v>1</v>
      </c>
      <c r="C33" s="14">
        <v>3.7997301811901012E-12</v>
      </c>
      <c r="D33" s="14">
        <v>0.47499999999999998</v>
      </c>
      <c r="E33" s="6" t="s">
        <v>0</v>
      </c>
    </row>
    <row r="34" spans="1:5" ht="18.5" x14ac:dyDescent="0.35">
      <c r="A34" s="1"/>
      <c r="B34" s="5">
        <v>1</v>
      </c>
      <c r="C34" s="14">
        <v>3.7997301811901012E-12</v>
      </c>
      <c r="D34" s="14">
        <v>0.52500000000000002</v>
      </c>
      <c r="E34" s="6" t="s">
        <v>0</v>
      </c>
    </row>
    <row r="35" spans="1:5" ht="18.5" x14ac:dyDescent="0.35">
      <c r="A35" s="1"/>
      <c r="B35" s="5">
        <v>1</v>
      </c>
      <c r="C35" s="14">
        <v>1.0242960684021165E-11</v>
      </c>
      <c r="D35" s="14">
        <v>0.54</v>
      </c>
      <c r="E35" s="6" t="s">
        <v>1</v>
      </c>
    </row>
    <row r="36" spans="1:5" ht="18.5" x14ac:dyDescent="0.35">
      <c r="A36" s="1"/>
      <c r="B36" s="5">
        <v>1</v>
      </c>
      <c r="C36" s="14">
        <v>3.7997301811901012E-12</v>
      </c>
      <c r="D36" s="14">
        <v>0.57499999999999996</v>
      </c>
      <c r="E36" s="6" t="s">
        <v>0</v>
      </c>
    </row>
    <row r="37" spans="1:5" ht="18.5" x14ac:dyDescent="0.35">
      <c r="A37" s="1"/>
      <c r="B37" s="5">
        <v>1</v>
      </c>
      <c r="C37" s="14">
        <v>7.9860451934851331E-12</v>
      </c>
      <c r="D37" s="14">
        <v>0.64</v>
      </c>
      <c r="E37" s="6" t="s">
        <v>1</v>
      </c>
    </row>
    <row r="38" spans="1:5" ht="18.5" x14ac:dyDescent="0.35">
      <c r="A38" s="1"/>
      <c r="B38" s="5">
        <v>1</v>
      </c>
      <c r="C38" s="14">
        <v>7.3179896091799759E-12</v>
      </c>
      <c r="D38" s="14">
        <v>0.64900000000000002</v>
      </c>
      <c r="E38" s="6" t="s">
        <v>0</v>
      </c>
    </row>
    <row r="39" spans="1:5" ht="18.5" x14ac:dyDescent="0.35">
      <c r="A39" s="1"/>
      <c r="B39" s="5">
        <v>1</v>
      </c>
      <c r="C39" s="14">
        <v>6.2499505859798953E-12</v>
      </c>
      <c r="D39" s="14">
        <v>0.74</v>
      </c>
      <c r="E39" s="6" t="s">
        <v>1</v>
      </c>
    </row>
    <row r="40" spans="1:5" ht="18.5" x14ac:dyDescent="0.35">
      <c r="A40" s="1"/>
      <c r="B40" s="5">
        <v>1</v>
      </c>
      <c r="C40" s="14">
        <v>6.1163644665214566E-12</v>
      </c>
      <c r="D40" s="14">
        <v>0.749</v>
      </c>
      <c r="E40" s="6" t="s">
        <v>0</v>
      </c>
    </row>
    <row r="41" spans="1:5" ht="18.5" x14ac:dyDescent="0.35">
      <c r="A41" s="1"/>
      <c r="B41" s="5">
        <v>1</v>
      </c>
      <c r="C41" s="14">
        <v>4.8610699004951859E-12</v>
      </c>
      <c r="D41" s="14">
        <v>0.84</v>
      </c>
      <c r="E41" s="6" t="s">
        <v>1</v>
      </c>
    </row>
    <row r="42" spans="1:5" ht="18.5" x14ac:dyDescent="0.35">
      <c r="A42" s="1"/>
      <c r="B42" s="5">
        <v>1</v>
      </c>
      <c r="C42" s="14">
        <v>5.1312668251258474E-12</v>
      </c>
      <c r="D42" s="14">
        <v>0.84899999999999998</v>
      </c>
      <c r="E42" s="6" t="s">
        <v>0</v>
      </c>
    </row>
    <row r="43" spans="1:5" ht="18.5" x14ac:dyDescent="0.35">
      <c r="A43" s="1"/>
      <c r="B43" s="5">
        <v>1</v>
      </c>
      <c r="C43" s="14">
        <v>4.28687956292776E-12</v>
      </c>
      <c r="D43" s="14">
        <v>0.94899999999999995</v>
      </c>
      <c r="E43" s="6" t="s">
        <v>0</v>
      </c>
    </row>
    <row r="44" spans="1:5" ht="18.5" x14ac:dyDescent="0.35">
      <c r="A44" s="1"/>
      <c r="B44" s="5">
        <v>1</v>
      </c>
      <c r="C44" s="14">
        <v>3.594051552652671E-12</v>
      </c>
      <c r="D44" s="14">
        <v>1.0489999999999999</v>
      </c>
      <c r="E44" s="6" t="s">
        <v>0</v>
      </c>
    </row>
    <row r="45" spans="1:5" ht="18.5" x14ac:dyDescent="0.35">
      <c r="A45" s="1"/>
      <c r="B45" s="5">
        <v>1</v>
      </c>
      <c r="C45" s="14">
        <v>2.0485921368042329E-11</v>
      </c>
      <c r="D45" s="14">
        <v>1.1000000000000001</v>
      </c>
      <c r="E45" s="6" t="s">
        <v>1</v>
      </c>
    </row>
    <row r="46" spans="1:5" ht="18.5" x14ac:dyDescent="0.35">
      <c r="A46" s="1"/>
      <c r="B46" s="5">
        <v>1</v>
      </c>
      <c r="C46" s="14">
        <v>2.9986384202835576E-12</v>
      </c>
      <c r="D46" s="14">
        <v>1.149</v>
      </c>
      <c r="E46" s="6" t="s">
        <v>0</v>
      </c>
    </row>
    <row r="47" spans="1:5" ht="18.5" x14ac:dyDescent="0.35">
      <c r="A47" s="1"/>
      <c r="B47" s="5">
        <v>1</v>
      </c>
      <c r="C47" s="14">
        <v>2.5114890385458997E-12</v>
      </c>
      <c r="D47" s="14">
        <v>1.25</v>
      </c>
      <c r="E47" s="6" t="s">
        <v>0</v>
      </c>
    </row>
    <row r="48" spans="1:5" ht="18.5" x14ac:dyDescent="0.35">
      <c r="A48" s="1"/>
      <c r="B48" s="5">
        <v>1</v>
      </c>
      <c r="C48" s="14">
        <v>2.1001342812112979E-12</v>
      </c>
      <c r="D48" s="14">
        <v>1.35</v>
      </c>
      <c r="E48" s="6" t="s">
        <v>0</v>
      </c>
    </row>
    <row r="49" spans="1:5" ht="18.5" x14ac:dyDescent="0.35">
      <c r="A49" s="1"/>
      <c r="B49" s="5">
        <v>1</v>
      </c>
      <c r="C49" s="14">
        <v>1.7537202760737534E-12</v>
      </c>
      <c r="D49" s="14">
        <v>1.45</v>
      </c>
      <c r="E49" s="6" t="s">
        <v>0</v>
      </c>
    </row>
    <row r="50" spans="1:5" ht="18.5" x14ac:dyDescent="0.35">
      <c r="A50" s="1"/>
      <c r="B50" s="5">
        <v>1</v>
      </c>
      <c r="C50" s="14">
        <v>1.2499876174557196E-11</v>
      </c>
      <c r="D50" s="14">
        <v>1.56</v>
      </c>
      <c r="E50" s="6" t="s">
        <v>1</v>
      </c>
    </row>
    <row r="51" spans="1:5" ht="18.5" x14ac:dyDescent="0.35">
      <c r="A51" s="1"/>
      <c r="B51" s="5">
        <v>1</v>
      </c>
      <c r="C51" s="14">
        <v>6.2246282171529116E-12</v>
      </c>
      <c r="D51" s="14">
        <v>1.73</v>
      </c>
      <c r="E51" s="6" t="s">
        <v>0</v>
      </c>
    </row>
    <row r="52" spans="1:5" ht="18.5" x14ac:dyDescent="0.35">
      <c r="A52" s="1"/>
      <c r="B52" s="5">
        <v>1</v>
      </c>
      <c r="C52" s="14">
        <v>6.5971645080004237E-12</v>
      </c>
      <c r="D52" s="14">
        <v>2</v>
      </c>
      <c r="E52" s="6" t="s">
        <v>1</v>
      </c>
    </row>
    <row r="53" spans="1:5" ht="18.5" x14ac:dyDescent="0.35">
      <c r="A53" s="1"/>
      <c r="B53" s="5">
        <v>1</v>
      </c>
      <c r="C53" s="14">
        <v>3.6156993032984433E-12</v>
      </c>
      <c r="D53" s="14">
        <v>2.23</v>
      </c>
      <c r="E53" s="6" t="s">
        <v>0</v>
      </c>
    </row>
    <row r="54" spans="1:5" ht="18.5" x14ac:dyDescent="0.35">
      <c r="A54" s="1"/>
      <c r="B54" s="5">
        <v>1</v>
      </c>
      <c r="C54" s="14">
        <v>4.8610699004951859E-12</v>
      </c>
      <c r="D54" s="14">
        <v>2.4</v>
      </c>
      <c r="E54" s="6" t="s">
        <v>1</v>
      </c>
    </row>
    <row r="55" spans="1:5" ht="18.5" x14ac:dyDescent="0.35">
      <c r="A55" s="1"/>
      <c r="B55" s="5">
        <v>1</v>
      </c>
      <c r="C55" s="14">
        <v>2.0893079061481521E-12</v>
      </c>
      <c r="D55" s="14">
        <v>2.73</v>
      </c>
      <c r="E55" s="6" t="s">
        <v>0</v>
      </c>
    </row>
    <row r="56" spans="1:5" ht="18.5" x14ac:dyDescent="0.35">
      <c r="A56" s="1"/>
      <c r="B56" s="5">
        <v>1</v>
      </c>
      <c r="C56" s="14">
        <v>2.7777613709694183E-12</v>
      </c>
      <c r="D56" s="14">
        <v>2.8</v>
      </c>
      <c r="E56" s="6" t="s">
        <v>1</v>
      </c>
    </row>
    <row r="57" spans="1:5" ht="18.5" x14ac:dyDescent="0.35">
      <c r="A57" s="1"/>
      <c r="B57" s="5">
        <v>1</v>
      </c>
      <c r="C57" s="14">
        <v>1.2124490179814052E-12</v>
      </c>
      <c r="D57" s="14">
        <v>3.23</v>
      </c>
      <c r="E57" s="6" t="s">
        <v>0</v>
      </c>
    </row>
    <row r="58" spans="1:5" ht="18.5" x14ac:dyDescent="0.35">
      <c r="A58" s="1"/>
      <c r="B58" s="5">
        <v>1</v>
      </c>
      <c r="C58" s="14">
        <v>2.0833135290062861E-12</v>
      </c>
      <c r="D58" s="14">
        <v>3.25</v>
      </c>
      <c r="E58" s="6" t="s">
        <v>1</v>
      </c>
    </row>
    <row r="59" spans="1:5" ht="18.5" x14ac:dyDescent="0.35">
      <c r="A59" s="1"/>
      <c r="B59" s="5">
        <v>1</v>
      </c>
      <c r="C59" s="14">
        <v>7.0365188559797484E-13</v>
      </c>
      <c r="D59" s="14">
        <v>3.73</v>
      </c>
      <c r="E59" s="6" t="s">
        <v>0</v>
      </c>
    </row>
    <row r="60" spans="1:5" ht="18.5" x14ac:dyDescent="0.35">
      <c r="A60" s="1"/>
      <c r="B60" s="5">
        <v>1</v>
      </c>
      <c r="C60" s="14">
        <v>1.4930423623506085E-12</v>
      </c>
      <c r="D60" s="14">
        <v>3.75</v>
      </c>
      <c r="E60" s="6" t="s">
        <v>1</v>
      </c>
    </row>
    <row r="61" spans="1:5" ht="18.5" x14ac:dyDescent="0.35">
      <c r="A61" s="1"/>
      <c r="B61" s="5">
        <v>1</v>
      </c>
      <c r="C61" s="14">
        <v>4.0811759369877352E-13</v>
      </c>
      <c r="D61" s="14">
        <v>4.2300000000000004</v>
      </c>
      <c r="E61" s="6" t="s">
        <v>0</v>
      </c>
    </row>
    <row r="62" spans="1:5" ht="18.5" x14ac:dyDescent="0.35">
      <c r="A62" s="1"/>
      <c r="B62" s="5">
        <v>1</v>
      </c>
      <c r="C62" s="14">
        <v>7.2915923520414815E-13</v>
      </c>
      <c r="D62" s="14">
        <v>4.25</v>
      </c>
      <c r="E62" s="6" t="s">
        <v>1</v>
      </c>
    </row>
    <row r="63" spans="1:5" ht="18.5" x14ac:dyDescent="0.35">
      <c r="A63" s="1"/>
      <c r="B63" s="5">
        <v>1</v>
      </c>
      <c r="C63" s="14">
        <v>2.3599447850644557E-13</v>
      </c>
      <c r="D63" s="14">
        <v>4.7300000000000004</v>
      </c>
      <c r="E63" s="6" t="s">
        <v>0</v>
      </c>
    </row>
    <row r="64" spans="1:5" ht="18.5" x14ac:dyDescent="0.35">
      <c r="A64" s="1"/>
      <c r="B64" s="5">
        <v>1</v>
      </c>
      <c r="C64" s="14">
        <v>3.4721892150104766E-13</v>
      </c>
      <c r="D64" s="14">
        <v>4.75</v>
      </c>
      <c r="E64" s="6" t="s">
        <v>1</v>
      </c>
    </row>
    <row r="65" spans="1:5" ht="18.5" x14ac:dyDescent="0.35">
      <c r="A65" s="1"/>
      <c r="B65" s="5">
        <v>1</v>
      </c>
      <c r="C65" s="14">
        <v>1.3748296454870318E-13</v>
      </c>
      <c r="D65" s="14">
        <v>5.23</v>
      </c>
      <c r="E65" s="6" t="s">
        <v>0</v>
      </c>
    </row>
    <row r="66" spans="1:5" ht="18.5" x14ac:dyDescent="0.35">
      <c r="A66" s="1"/>
      <c r="B66" s="5">
        <v>1</v>
      </c>
      <c r="C66" s="14">
        <v>1.649291127000106E-13</v>
      </c>
      <c r="D66" s="14">
        <v>5.25</v>
      </c>
      <c r="E66" s="6" t="s">
        <v>1</v>
      </c>
    </row>
    <row r="67" spans="1:5" ht="18.5" x14ac:dyDescent="0.35">
      <c r="A67" s="1"/>
      <c r="B67" s="5">
        <v>1</v>
      </c>
      <c r="C67" s="14">
        <v>1.2557495187534686E-13</v>
      </c>
      <c r="D67" s="14">
        <v>5.91</v>
      </c>
      <c r="E67" s="6" t="s">
        <v>0</v>
      </c>
    </row>
    <row r="68" spans="1:5" ht="18.5" x14ac:dyDescent="0.35">
      <c r="A68" s="1"/>
      <c r="B68" s="5">
        <v>1</v>
      </c>
      <c r="C68" s="14">
        <v>4.2219113135878487E-14</v>
      </c>
      <c r="D68" s="14">
        <v>6.91</v>
      </c>
      <c r="E68" s="6" t="s">
        <v>0</v>
      </c>
    </row>
    <row r="69" spans="1:5" ht="18.5" x14ac:dyDescent="0.35">
      <c r="A69" s="1"/>
      <c r="B69" s="5">
        <v>1</v>
      </c>
      <c r="C69" s="14">
        <v>1.4073062709362089E-14</v>
      </c>
      <c r="D69" s="14">
        <v>7.91</v>
      </c>
      <c r="E69" s="6" t="s">
        <v>0</v>
      </c>
    </row>
    <row r="70" spans="1:5" ht="18.5" x14ac:dyDescent="0.35">
      <c r="A70" s="1"/>
      <c r="B70" s="5">
        <v>1</v>
      </c>
      <c r="C70" s="14">
        <v>4.7631800719399378E-15</v>
      </c>
      <c r="D70" s="14">
        <v>8.91</v>
      </c>
      <c r="E70" s="6" t="s">
        <v>0</v>
      </c>
    </row>
    <row r="71" spans="1:5" ht="18.5" x14ac:dyDescent="0.35">
      <c r="A71" s="1"/>
      <c r="B71" s="5">
        <v>1</v>
      </c>
      <c r="C71" s="14">
        <v>1.6238137742770444E-15</v>
      </c>
      <c r="D71" s="14">
        <v>9.91</v>
      </c>
      <c r="E71" s="6" t="s">
        <v>0</v>
      </c>
    </row>
    <row r="72" spans="1:5" x14ac:dyDescent="0.35">
      <c r="C72" s="15"/>
      <c r="D72" s="16"/>
    </row>
    <row r="73" spans="1:5" x14ac:dyDescent="0.35">
      <c r="C73" s="15"/>
      <c r="D73" s="16"/>
    </row>
    <row r="74" spans="1:5" x14ac:dyDescent="0.35">
      <c r="C74" s="15"/>
      <c r="D74" s="16"/>
    </row>
    <row r="75" spans="1:5" x14ac:dyDescent="0.35">
      <c r="C75" s="15"/>
      <c r="D75" s="16"/>
    </row>
    <row r="76" spans="1:5" x14ac:dyDescent="0.35">
      <c r="C76" s="15"/>
      <c r="D76" s="16"/>
    </row>
    <row r="77" spans="1:5" x14ac:dyDescent="0.35">
      <c r="C77" s="15"/>
      <c r="D77" s="16"/>
    </row>
    <row r="78" spans="1:5" x14ac:dyDescent="0.35">
      <c r="C78" s="15"/>
      <c r="D78" s="16"/>
    </row>
    <row r="79" spans="1:5" x14ac:dyDescent="0.35">
      <c r="C79" s="15"/>
      <c r="D79" s="16"/>
    </row>
    <row r="80" spans="1:5" x14ac:dyDescent="0.35">
      <c r="C80" s="15"/>
      <c r="D80" s="16"/>
    </row>
    <row r="81" spans="3:4" x14ac:dyDescent="0.35">
      <c r="C81" s="15"/>
      <c r="D81" s="16"/>
    </row>
    <row r="82" spans="3:4" x14ac:dyDescent="0.35">
      <c r="C82" s="15"/>
      <c r="D82" s="16"/>
    </row>
    <row r="83" spans="3:4" x14ac:dyDescent="0.35">
      <c r="C83" s="15"/>
      <c r="D83" s="16"/>
    </row>
    <row r="84" spans="3:4" x14ac:dyDescent="0.35">
      <c r="C84" s="15"/>
      <c r="D84" s="16"/>
    </row>
    <row r="85" spans="3:4" x14ac:dyDescent="0.35">
      <c r="C85" s="15"/>
      <c r="D85" s="16"/>
    </row>
    <row r="86" spans="3:4" x14ac:dyDescent="0.35">
      <c r="C86" s="15"/>
      <c r="D86" s="16"/>
    </row>
    <row r="87" spans="3:4" x14ac:dyDescent="0.35">
      <c r="C87" s="15"/>
      <c r="D87" s="16"/>
    </row>
    <row r="88" spans="3:4" x14ac:dyDescent="0.35">
      <c r="C88" s="15"/>
      <c r="D88" s="16"/>
    </row>
    <row r="89" spans="3:4" x14ac:dyDescent="0.35">
      <c r="C89" s="15"/>
      <c r="D89" s="16"/>
    </row>
    <row r="90" spans="3:4" x14ac:dyDescent="0.35">
      <c r="C90" s="15"/>
      <c r="D90" s="16"/>
    </row>
    <row r="91" spans="3:4" x14ac:dyDescent="0.35">
      <c r="C91" s="15"/>
      <c r="D91" s="16"/>
    </row>
    <row r="92" spans="3:4" x14ac:dyDescent="0.35">
      <c r="C92" s="15"/>
      <c r="D92" s="16"/>
    </row>
    <row r="93" spans="3:4" x14ac:dyDescent="0.35">
      <c r="C93" s="15"/>
      <c r="D93" s="16"/>
    </row>
    <row r="94" spans="3:4" x14ac:dyDescent="0.35">
      <c r="C94" s="15"/>
      <c r="D94" s="16"/>
    </row>
    <row r="95" spans="3:4" x14ac:dyDescent="0.35">
      <c r="C95" s="15"/>
      <c r="D95" s="16"/>
    </row>
    <row r="96" spans="3:4" x14ac:dyDescent="0.35">
      <c r="C96" s="15"/>
      <c r="D96" s="16"/>
    </row>
    <row r="97" spans="3:4" x14ac:dyDescent="0.35">
      <c r="C97" s="15"/>
      <c r="D97" s="16"/>
    </row>
    <row r="98" spans="3:4" x14ac:dyDescent="0.35">
      <c r="C98" s="15"/>
      <c r="D98" s="16"/>
    </row>
    <row r="99" spans="3:4" x14ac:dyDescent="0.35">
      <c r="C99" s="15"/>
      <c r="D99" s="16"/>
    </row>
    <row r="100" spans="3:4" x14ac:dyDescent="0.35">
      <c r="C100" s="15"/>
      <c r="D100" s="16"/>
    </row>
    <row r="101" spans="3:4" x14ac:dyDescent="0.35">
      <c r="C101" s="15"/>
      <c r="D101" s="16"/>
    </row>
    <row r="102" spans="3:4" x14ac:dyDescent="0.35">
      <c r="C102" s="15"/>
      <c r="D102" s="16"/>
    </row>
    <row r="103" spans="3:4" x14ac:dyDescent="0.35">
      <c r="C103" s="15"/>
      <c r="D103" s="16"/>
    </row>
    <row r="104" spans="3:4" x14ac:dyDescent="0.35">
      <c r="C104" s="15"/>
      <c r="D104" s="16"/>
    </row>
    <row r="105" spans="3:4" x14ac:dyDescent="0.35">
      <c r="C105" s="15"/>
      <c r="D105" s="16"/>
    </row>
    <row r="106" spans="3:4" x14ac:dyDescent="0.35">
      <c r="C106" s="15"/>
      <c r="D106" s="16"/>
    </row>
    <row r="107" spans="3:4" x14ac:dyDescent="0.35">
      <c r="C107" s="15"/>
      <c r="D107" s="16"/>
    </row>
    <row r="108" spans="3:4" x14ac:dyDescent="0.35">
      <c r="C108" s="15"/>
      <c r="D108" s="16"/>
    </row>
    <row r="109" spans="3:4" x14ac:dyDescent="0.35">
      <c r="C109" s="15"/>
      <c r="D109" s="16"/>
    </row>
    <row r="110" spans="3:4" x14ac:dyDescent="0.35">
      <c r="C110" s="15"/>
      <c r="D110" s="16"/>
    </row>
    <row r="111" spans="3:4" x14ac:dyDescent="0.35">
      <c r="C111" s="15"/>
      <c r="D111" s="16"/>
    </row>
    <row r="112" spans="3:4" x14ac:dyDescent="0.35">
      <c r="C112" s="15"/>
      <c r="D112" s="16"/>
    </row>
    <row r="113" spans="3:4" x14ac:dyDescent="0.35">
      <c r="C113" s="15"/>
      <c r="D113" s="16"/>
    </row>
    <row r="114" spans="3:4" x14ac:dyDescent="0.35">
      <c r="C114" s="15"/>
      <c r="D114" s="16"/>
    </row>
    <row r="115" spans="3:4" x14ac:dyDescent="0.35">
      <c r="C115" s="15"/>
      <c r="D115" s="16"/>
    </row>
    <row r="116" spans="3:4" x14ac:dyDescent="0.35">
      <c r="C116" s="15"/>
      <c r="D116" s="16"/>
    </row>
    <row r="117" spans="3:4" x14ac:dyDescent="0.35">
      <c r="C117" s="15"/>
      <c r="D117" s="16"/>
    </row>
    <row r="118" spans="3:4" x14ac:dyDescent="0.35">
      <c r="C118" s="15"/>
      <c r="D118" s="16"/>
    </row>
    <row r="119" spans="3:4" x14ac:dyDescent="0.35">
      <c r="C119" s="15"/>
      <c r="D119" s="16"/>
    </row>
    <row r="120" spans="3:4" x14ac:dyDescent="0.35">
      <c r="C120" s="15"/>
      <c r="D120" s="16"/>
    </row>
    <row r="121" spans="3:4" x14ac:dyDescent="0.35">
      <c r="C121" s="15"/>
      <c r="D121" s="16"/>
    </row>
    <row r="122" spans="3:4" x14ac:dyDescent="0.35">
      <c r="C122" s="15"/>
      <c r="D122" s="16"/>
    </row>
    <row r="123" spans="3:4" x14ac:dyDescent="0.35">
      <c r="C123" s="15"/>
      <c r="D123" s="16"/>
    </row>
    <row r="124" spans="3:4" x14ac:dyDescent="0.35">
      <c r="C124" s="15"/>
      <c r="D124" s="16"/>
    </row>
    <row r="125" spans="3:4" x14ac:dyDescent="0.35">
      <c r="C125" s="15"/>
      <c r="D125" s="16"/>
    </row>
    <row r="126" spans="3:4" x14ac:dyDescent="0.35">
      <c r="C126" s="15"/>
      <c r="D126" s="16"/>
    </row>
    <row r="127" spans="3:4" x14ac:dyDescent="0.35">
      <c r="C127" s="15"/>
      <c r="D127" s="16"/>
    </row>
    <row r="128" spans="3:4" x14ac:dyDescent="0.35">
      <c r="C128" s="15"/>
      <c r="D128" s="16"/>
    </row>
    <row r="129" spans="3:4" x14ac:dyDescent="0.35">
      <c r="C129" s="15"/>
      <c r="D129" s="16"/>
    </row>
    <row r="130" spans="3:4" x14ac:dyDescent="0.35">
      <c r="C130" s="15"/>
      <c r="D130" s="16"/>
    </row>
    <row r="131" spans="3:4" x14ac:dyDescent="0.35">
      <c r="C131" s="15"/>
      <c r="D131" s="16"/>
    </row>
    <row r="132" spans="3:4" x14ac:dyDescent="0.35">
      <c r="C132" s="15"/>
      <c r="D132" s="16"/>
    </row>
    <row r="133" spans="3:4" x14ac:dyDescent="0.35">
      <c r="C133" s="15"/>
      <c r="D133" s="16"/>
    </row>
    <row r="134" spans="3:4" x14ac:dyDescent="0.35">
      <c r="C134" s="15"/>
      <c r="D134" s="16"/>
    </row>
    <row r="135" spans="3:4" x14ac:dyDescent="0.35">
      <c r="C135" s="15"/>
      <c r="D135" s="16"/>
    </row>
    <row r="136" spans="3:4" x14ac:dyDescent="0.35">
      <c r="C136" s="15"/>
      <c r="D136" s="16"/>
    </row>
    <row r="137" spans="3:4" x14ac:dyDescent="0.35">
      <c r="C137" s="15"/>
      <c r="D137" s="16"/>
    </row>
    <row r="138" spans="3:4" x14ac:dyDescent="0.35">
      <c r="C138" s="15"/>
      <c r="D138" s="16"/>
    </row>
    <row r="139" spans="3:4" x14ac:dyDescent="0.35">
      <c r="C139" s="15"/>
      <c r="D139" s="16"/>
    </row>
    <row r="140" spans="3:4" x14ac:dyDescent="0.35">
      <c r="C140" s="15"/>
      <c r="D140" s="16"/>
    </row>
    <row r="141" spans="3:4" x14ac:dyDescent="0.35">
      <c r="C141" s="15"/>
      <c r="D141" s="16"/>
    </row>
    <row r="142" spans="3:4" x14ac:dyDescent="0.35">
      <c r="C142" s="15"/>
      <c r="D142" s="16"/>
    </row>
    <row r="143" spans="3:4" x14ac:dyDescent="0.35">
      <c r="C143" s="15"/>
      <c r="D143" s="16"/>
    </row>
    <row r="144" spans="3:4" x14ac:dyDescent="0.35">
      <c r="C144" s="15"/>
      <c r="D144" s="16"/>
    </row>
    <row r="145" spans="3:4" x14ac:dyDescent="0.35">
      <c r="C145" s="15"/>
      <c r="D145" s="16"/>
    </row>
    <row r="146" spans="3:4" x14ac:dyDescent="0.35">
      <c r="C146" s="15"/>
      <c r="D146" s="16"/>
    </row>
    <row r="147" spans="3:4" x14ac:dyDescent="0.35">
      <c r="C147" s="15"/>
      <c r="D147" s="16"/>
    </row>
    <row r="148" spans="3:4" x14ac:dyDescent="0.35">
      <c r="C148" s="15"/>
      <c r="D148" s="16"/>
    </row>
    <row r="149" spans="3:4" x14ac:dyDescent="0.35">
      <c r="C149" s="15"/>
      <c r="D149" s="16"/>
    </row>
    <row r="150" spans="3:4" x14ac:dyDescent="0.35">
      <c r="C150" s="15"/>
      <c r="D150" s="16"/>
    </row>
    <row r="151" spans="3:4" x14ac:dyDescent="0.35">
      <c r="C151" s="15"/>
      <c r="D15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15</vt:i4>
      </vt:variant>
    </vt:vector>
  </HeadingPairs>
  <TitlesOfParts>
    <vt:vector size="22" baseType="lpstr">
      <vt:lpstr>REF_U238</vt:lpstr>
      <vt:lpstr>U232</vt:lpstr>
      <vt:lpstr>U234</vt:lpstr>
      <vt:lpstr>U235</vt:lpstr>
      <vt:lpstr>U236</vt:lpstr>
      <vt:lpstr>Th230</vt:lpstr>
      <vt:lpstr>Th232</vt:lpstr>
      <vt:lpstr>fg_yield_ref</vt:lpstr>
      <vt:lpstr>target_total_fg_th230</vt:lpstr>
      <vt:lpstr>target_total_fg_th232</vt:lpstr>
      <vt:lpstr>target_total_fg_u232</vt:lpstr>
      <vt:lpstr>target_total_fg_u234</vt:lpstr>
      <vt:lpstr>target_total_fg_u235</vt:lpstr>
      <vt:lpstr>target_total_fg_u236</vt:lpstr>
      <vt:lpstr>Y_fg_U238</vt:lpstr>
      <vt:lpstr>Y_sfn_Th230</vt:lpstr>
      <vt:lpstr>Y_sfn_Th232</vt:lpstr>
      <vt:lpstr>Y_sfn_U232</vt:lpstr>
      <vt:lpstr>Y_sfn_U234</vt:lpstr>
      <vt:lpstr>Y_sfn_U235</vt:lpstr>
      <vt:lpstr>Y_sfn_U236</vt:lpstr>
      <vt:lpstr>Y_sfn_U238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Van Rooyen</dc:creator>
  <cp:lastModifiedBy>Johann Van Rooyen</cp:lastModifiedBy>
  <dcterms:created xsi:type="dcterms:W3CDTF">2017-05-09T07:58:09Z</dcterms:created>
  <dcterms:modified xsi:type="dcterms:W3CDTF">2025-02-01T13:28:44Z</dcterms:modified>
</cp:coreProperties>
</file>